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TNI\FIX File\Isi\"/>
    </mc:Choice>
  </mc:AlternateContent>
  <bookViews>
    <workbookView xWindow="0" yWindow="0" windowWidth="16380" windowHeight="8190" tabRatio="989" activeTab="1"/>
  </bookViews>
  <sheets>
    <sheet name="UKP Prajurit" sheetId="1" r:id="rId1"/>
    <sheet name="Sheet2" sheetId="2" r:id="rId2"/>
  </sheets>
  <externalReferences>
    <externalReference r:id="rId3"/>
  </externalReferenc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U108" i="2" l="1"/>
  <c r="U107" i="2"/>
  <c r="U106" i="2"/>
  <c r="U105" i="2"/>
  <c r="U104" i="2"/>
  <c r="U103" i="2"/>
  <c r="U98" i="2"/>
  <c r="U97" i="2"/>
  <c r="U96" i="2"/>
  <c r="U95" i="2"/>
  <c r="U94" i="2"/>
  <c r="U93" i="2"/>
  <c r="U88" i="2"/>
  <c r="U87" i="2"/>
  <c r="U86" i="2"/>
  <c r="U85" i="2"/>
  <c r="U84" i="2"/>
  <c r="U83" i="2"/>
  <c r="U78" i="2"/>
  <c r="U77" i="2"/>
  <c r="U76" i="2"/>
  <c r="U75" i="2"/>
  <c r="U74" i="2"/>
  <c r="U73" i="2"/>
  <c r="U68" i="2"/>
  <c r="U67" i="2"/>
  <c r="U66" i="2"/>
  <c r="U65" i="2"/>
  <c r="U64" i="2"/>
  <c r="U63" i="2"/>
  <c r="U58" i="2"/>
  <c r="U57" i="2"/>
  <c r="U56" i="2"/>
  <c r="U55" i="2"/>
  <c r="U54" i="2"/>
  <c r="U53" i="2"/>
  <c r="U48" i="2"/>
  <c r="U47" i="2"/>
  <c r="U46" i="2"/>
  <c r="U45" i="2"/>
  <c r="U44" i="2"/>
  <c r="U43" i="2"/>
  <c r="U38" i="2"/>
  <c r="U37" i="2"/>
  <c r="U36" i="2"/>
  <c r="U35" i="2"/>
  <c r="U34" i="2"/>
  <c r="U33" i="2"/>
  <c r="U28" i="2"/>
  <c r="U27" i="2"/>
  <c r="U26" i="2"/>
  <c r="U25" i="2"/>
  <c r="U24" i="2"/>
  <c r="U23" i="2"/>
  <c r="U18" i="2"/>
  <c r="U17" i="2"/>
  <c r="U16" i="2"/>
  <c r="U15" i="2"/>
  <c r="U14" i="2"/>
  <c r="U13" i="2"/>
  <c r="U8" i="2"/>
  <c r="U7" i="2"/>
  <c r="U6" i="2"/>
  <c r="U5" i="2"/>
  <c r="U4" i="2"/>
  <c r="U3" i="2"/>
  <c r="U117" i="1" l="1"/>
  <c r="U116" i="1"/>
  <c r="U115" i="1"/>
  <c r="U114" i="1"/>
  <c r="U113" i="1"/>
  <c r="U112" i="1"/>
  <c r="U107" i="1"/>
  <c r="U106" i="1"/>
  <c r="U105" i="1"/>
  <c r="U104" i="1"/>
  <c r="U103" i="1"/>
  <c r="U102" i="1"/>
  <c r="U97" i="1"/>
  <c r="U96" i="1"/>
  <c r="U95" i="1"/>
  <c r="U94" i="1"/>
  <c r="U93" i="1"/>
  <c r="U92" i="1"/>
  <c r="U87" i="1"/>
  <c r="U86" i="1"/>
  <c r="U85" i="1"/>
  <c r="U84" i="1"/>
  <c r="U83" i="1"/>
  <c r="U82" i="1"/>
  <c r="U77" i="1"/>
  <c r="U76" i="1"/>
  <c r="U75" i="1"/>
  <c r="U74" i="1"/>
  <c r="U73" i="1"/>
  <c r="U72" i="1"/>
  <c r="U67" i="1"/>
  <c r="U66" i="1"/>
  <c r="U65" i="1"/>
  <c r="U64" i="1"/>
  <c r="U63" i="1"/>
  <c r="U62" i="1"/>
  <c r="U57" i="1"/>
  <c r="U56" i="1"/>
  <c r="U55" i="1"/>
  <c r="U54" i="1"/>
  <c r="U53" i="1"/>
  <c r="U52" i="1"/>
  <c r="U47" i="1"/>
  <c r="U46" i="1"/>
  <c r="U45" i="1"/>
  <c r="U44" i="1"/>
  <c r="U43" i="1"/>
  <c r="U42" i="1"/>
  <c r="U37" i="1"/>
  <c r="U36" i="1"/>
  <c r="U35" i="1"/>
  <c r="U34" i="1"/>
  <c r="U33" i="1"/>
  <c r="U32" i="1"/>
  <c r="U27" i="1"/>
  <c r="U26" i="1"/>
  <c r="U25" i="1"/>
  <c r="U24" i="1"/>
  <c r="U23" i="1"/>
  <c r="U22" i="1"/>
  <c r="U17" i="1"/>
  <c r="U16" i="1"/>
  <c r="U15" i="1"/>
  <c r="U14" i="1"/>
  <c r="U13" i="1"/>
  <c r="U12" i="1"/>
</calcChain>
</file>

<file path=xl/sharedStrings.xml><?xml version="1.0" encoding="utf-8"?>
<sst xmlns="http://schemas.openxmlformats.org/spreadsheetml/2006/main" count="1557" uniqueCount="380">
  <si>
    <t>KOMANDO RESOR MILITER 062/TARUMANAGARA</t>
  </si>
  <si>
    <t xml:space="preserve">             KOMANDO DISTRIK MILITER 0609</t>
  </si>
  <si>
    <t>HASIL TES KESAMAPTAAN JASMANI UNTUK PRAJURIT MILITER PERIODIK II TA. 2016</t>
  </si>
  <si>
    <t>YANG MELAKSANAKAN DI KODIM 0609/KAB. BANDUNG</t>
  </si>
  <si>
    <t xml:space="preserve">KESATUAN    :  KODIM 0609/KAB. BANDUNG </t>
  </si>
  <si>
    <t>NO</t>
  </si>
  <si>
    <t>NAMA</t>
  </si>
  <si>
    <t>PANGKAT</t>
  </si>
  <si>
    <t>CORPS</t>
  </si>
  <si>
    <t>NRP</t>
  </si>
  <si>
    <t>JK</t>
  </si>
  <si>
    <t>TANGGAL LAHIR</t>
  </si>
  <si>
    <t>UMUR</t>
  </si>
  <si>
    <t>WAKTU LARI</t>
  </si>
  <si>
    <t>NILAI</t>
  </si>
  <si>
    <t>PULL UP</t>
  </si>
  <si>
    <t>PUSH UP</t>
  </si>
  <si>
    <t>SIT UP</t>
  </si>
  <si>
    <t>SHUTTLE RUN</t>
  </si>
  <si>
    <t>RENANG</t>
  </si>
  <si>
    <t>JML NILAI</t>
  </si>
  <si>
    <t>KET</t>
  </si>
  <si>
    <t>Pemuda Leonardi Ginting, S.I.P.</t>
  </si>
  <si>
    <t>Letkol</t>
  </si>
  <si>
    <t>Kav</t>
  </si>
  <si>
    <t>21970047140875</t>
  </si>
  <si>
    <t>L</t>
  </si>
  <si>
    <t>14-10-1992</t>
  </si>
  <si>
    <t>05:32:42</t>
  </si>
  <si>
    <t>tes</t>
  </si>
  <si>
    <t>Dedi Bermana Roza</t>
  </si>
  <si>
    <t>Mayor</t>
  </si>
  <si>
    <t>Inf</t>
  </si>
  <si>
    <t>11010044381079</t>
  </si>
  <si>
    <t>12-02-1991</t>
  </si>
  <si>
    <t>07:11:31</t>
  </si>
  <si>
    <t>09:31:51</t>
  </si>
  <si>
    <t>Drs. Deden Koswara, M.S.i</t>
  </si>
  <si>
    <t>1920002480563</t>
  </si>
  <si>
    <t>01-01-1981</t>
  </si>
  <si>
    <t>10:02:12</t>
  </si>
  <si>
    <t>Sumiyanti, S.H.</t>
  </si>
  <si>
    <t>Cba</t>
  </si>
  <si>
    <t>11990029300576</t>
  </si>
  <si>
    <t>P</t>
  </si>
  <si>
    <t>03-06-1984</t>
  </si>
  <si>
    <t>11:10:21</t>
  </si>
  <si>
    <t>13:10:37</t>
  </si>
  <si>
    <t>Rina Martiani, S.Pd</t>
  </si>
  <si>
    <t>Caj</t>
  </si>
  <si>
    <t>11010029300576</t>
  </si>
  <si>
    <t>08-22-1975</t>
  </si>
  <si>
    <t xml:space="preserve"> </t>
  </si>
  <si>
    <t>Roqich Hariadi</t>
  </si>
  <si>
    <t>11020037690880</t>
  </si>
  <si>
    <t>10-09-1979</t>
  </si>
  <si>
    <t>Pendi</t>
  </si>
  <si>
    <t>Kapten</t>
  </si>
  <si>
    <t>627432</t>
  </si>
  <si>
    <t>05-14-1963</t>
  </si>
  <si>
    <t>Ujang Mulyana</t>
  </si>
  <si>
    <t>Arm</t>
  </si>
  <si>
    <t>21950082931074</t>
  </si>
  <si>
    <t>05-30-1976</t>
  </si>
  <si>
    <t>Aman Rohman</t>
  </si>
  <si>
    <t>575720</t>
  </si>
  <si>
    <t>04-09-1976</t>
  </si>
  <si>
    <t>Toto Toha Sobana</t>
  </si>
  <si>
    <t>21950080610474</t>
  </si>
  <si>
    <t>08-15-1980</t>
  </si>
  <si>
    <t>Rokhimin</t>
  </si>
  <si>
    <t>573107</t>
  </si>
  <si>
    <t>03-03-1966</t>
  </si>
  <si>
    <t>05:32:43</t>
  </si>
  <si>
    <t>M. Sokhibi</t>
  </si>
  <si>
    <t>547815</t>
  </si>
  <si>
    <t>10-06-1974</t>
  </si>
  <si>
    <t>07:11:32</t>
  </si>
  <si>
    <t>09:31:52</t>
  </si>
  <si>
    <t>Kus Karyoso</t>
  </si>
  <si>
    <t>522774</t>
  </si>
  <si>
    <t>10-26-1961</t>
  </si>
  <si>
    <t>10:02:13</t>
  </si>
  <si>
    <t>Momon Sudirman</t>
  </si>
  <si>
    <t>619198</t>
  </si>
  <si>
    <t>04-04-1974</t>
  </si>
  <si>
    <t>11:10:22</t>
  </si>
  <si>
    <t>13:10:38</t>
  </si>
  <si>
    <t>Yanto Rubianto</t>
  </si>
  <si>
    <t>572938</t>
  </si>
  <si>
    <t>11-15-1964</t>
  </si>
  <si>
    <t>Bambang S</t>
  </si>
  <si>
    <t>571912</t>
  </si>
  <si>
    <t>09-17-1962</t>
  </si>
  <si>
    <t>Dadang Sudarmo</t>
  </si>
  <si>
    <t>520875</t>
  </si>
  <si>
    <t>08-06-1961</t>
  </si>
  <si>
    <t>Suwoto</t>
  </si>
  <si>
    <t>598257</t>
  </si>
  <si>
    <t>11-06-1966</t>
  </si>
  <si>
    <t>Ano Andyana</t>
  </si>
  <si>
    <t>572937</t>
  </si>
  <si>
    <t>08-28-1963</t>
  </si>
  <si>
    <t>M. Erwin Madiaferry</t>
  </si>
  <si>
    <t>21950081110574</t>
  </si>
  <si>
    <t>12-26-1964</t>
  </si>
  <si>
    <t>Purkon</t>
  </si>
  <si>
    <t>636172</t>
  </si>
  <si>
    <t>06-12-1961</t>
  </si>
  <si>
    <t>05:32:44</t>
  </si>
  <si>
    <t>Asep Sukandar</t>
  </si>
  <si>
    <t>11-19-1966</t>
  </si>
  <si>
    <t>07:11:33</t>
  </si>
  <si>
    <t>09:31:53</t>
  </si>
  <si>
    <t>Agus Sumpena</t>
  </si>
  <si>
    <t>572944</t>
  </si>
  <si>
    <t>05-15-1963</t>
  </si>
  <si>
    <t>10:02:14</t>
  </si>
  <si>
    <t>Rifai Lubis</t>
  </si>
  <si>
    <t>513489</t>
  </si>
  <si>
    <t>05-21-1974</t>
  </si>
  <si>
    <t>11:10:23</t>
  </si>
  <si>
    <t>13:10:39</t>
  </si>
  <si>
    <t>Amat Supriyono</t>
  </si>
  <si>
    <t>518018</t>
  </si>
  <si>
    <t>11-25-1966</t>
  </si>
  <si>
    <t>Dede Rohendi</t>
  </si>
  <si>
    <t>21950075430273</t>
  </si>
  <si>
    <t>04-24-1967</t>
  </si>
  <si>
    <t>Yoyo Supriatna</t>
  </si>
  <si>
    <t>522886</t>
  </si>
  <si>
    <t>07-08-1964</t>
  </si>
  <si>
    <t>Rd. Heri Supardan</t>
  </si>
  <si>
    <t>572962</t>
  </si>
  <si>
    <t>08-12-1962</t>
  </si>
  <si>
    <t>Nanang S</t>
  </si>
  <si>
    <t>505832</t>
  </si>
  <si>
    <t>09-21-1962</t>
  </si>
  <si>
    <t>Sri Nurhaeni</t>
  </si>
  <si>
    <t>608122</t>
  </si>
  <si>
    <t>02-07-1973</t>
  </si>
  <si>
    <t>Yevi Yuhana</t>
  </si>
  <si>
    <t>Chb</t>
  </si>
  <si>
    <t>21940119260472</t>
  </si>
  <si>
    <t>02-14-1961</t>
  </si>
  <si>
    <t>05:32:45</t>
  </si>
  <si>
    <t>Musiam</t>
  </si>
  <si>
    <t>Lettu</t>
  </si>
  <si>
    <t>3910605660571</t>
  </si>
  <si>
    <t>06-30-1963</t>
  </si>
  <si>
    <t>07:11:34</t>
  </si>
  <si>
    <t>09:31:54</t>
  </si>
  <si>
    <t>Endang L</t>
  </si>
  <si>
    <t>21930088990572</t>
  </si>
  <si>
    <t>09-22-1961</t>
  </si>
  <si>
    <t>10:02:15</t>
  </si>
  <si>
    <t>Siswanto</t>
  </si>
  <si>
    <t>612160</t>
  </si>
  <si>
    <t>06-19-1967</t>
  </si>
  <si>
    <t>11:10:24</t>
  </si>
  <si>
    <t>13:10:40</t>
  </si>
  <si>
    <t>Suprianto</t>
  </si>
  <si>
    <t>548107</t>
  </si>
  <si>
    <t>04-13-1972</t>
  </si>
  <si>
    <t>Tedi Sopian</t>
  </si>
  <si>
    <t>21960140010474</t>
  </si>
  <si>
    <t>06-15-1971</t>
  </si>
  <si>
    <t>Asep Suhendi, S.E</t>
  </si>
  <si>
    <t>21990060790479</t>
  </si>
  <si>
    <t>05-13-1972</t>
  </si>
  <si>
    <t>Pupu Subana</t>
  </si>
  <si>
    <t>Letda</t>
  </si>
  <si>
    <t>Arh</t>
  </si>
  <si>
    <t>06-01-1965</t>
  </si>
  <si>
    <t>Yuni Harsasi, S.E.</t>
  </si>
  <si>
    <t>Peltu</t>
  </si>
  <si>
    <t>Cpl</t>
  </si>
  <si>
    <t>21950300730475</t>
  </si>
  <si>
    <t>07-16-1961</t>
  </si>
  <si>
    <t>Eni Rohaeni</t>
  </si>
  <si>
    <t>04-17-1974</t>
  </si>
  <si>
    <t>Aep Suwardi</t>
  </si>
  <si>
    <t>04-11-1979</t>
  </si>
  <si>
    <t>05:32:46</t>
  </si>
  <si>
    <t>Siti Masitoh</t>
  </si>
  <si>
    <t>3900100561168</t>
  </si>
  <si>
    <t>01-07-1967</t>
  </si>
  <si>
    <t>07:11:35</t>
  </si>
  <si>
    <t>09:31:55</t>
  </si>
  <si>
    <t>Agus Supriadi</t>
  </si>
  <si>
    <t>624402</t>
  </si>
  <si>
    <t>06-09-1966</t>
  </si>
  <si>
    <t>10:02:16</t>
  </si>
  <si>
    <t>Dadang Suherman</t>
  </si>
  <si>
    <t>21950307920674</t>
  </si>
  <si>
    <t>05-04-1969</t>
  </si>
  <si>
    <t>11:10:25</t>
  </si>
  <si>
    <t>13:10:41</t>
  </si>
  <si>
    <t>Sukamto</t>
  </si>
  <si>
    <t>04-20-1966</t>
  </si>
  <si>
    <t>Inen Supriyadi</t>
  </si>
  <si>
    <t>12-06-1967</t>
  </si>
  <si>
    <t>Dedi</t>
  </si>
  <si>
    <t>21960354930676</t>
  </si>
  <si>
    <t>08-22-1968</t>
  </si>
  <si>
    <t>M. Usman</t>
  </si>
  <si>
    <t>07-03-1965</t>
  </si>
  <si>
    <t>Kusmadi</t>
  </si>
  <si>
    <t>21960080780974</t>
  </si>
  <si>
    <t>10-05-1967</t>
  </si>
  <si>
    <t>Aan Fahrudin</t>
  </si>
  <si>
    <t>21960355351274</t>
  </si>
  <si>
    <t>08-14-1965</t>
  </si>
  <si>
    <t>Sutardi</t>
  </si>
  <si>
    <t>05:32:47</t>
  </si>
  <si>
    <t>Dede Iman Johani</t>
  </si>
  <si>
    <t>04-10-1965</t>
  </si>
  <si>
    <t>07:11:36</t>
  </si>
  <si>
    <t>09:31:56</t>
  </si>
  <si>
    <t>Mulyana</t>
  </si>
  <si>
    <t>618921</t>
  </si>
  <si>
    <t>10-16-1965</t>
  </si>
  <si>
    <t>10:02:17</t>
  </si>
  <si>
    <t>Juju Jumara</t>
  </si>
  <si>
    <t>638047</t>
  </si>
  <si>
    <t>10-12-1965</t>
  </si>
  <si>
    <t>11:10:26</t>
  </si>
  <si>
    <t>13:10:42</t>
  </si>
  <si>
    <t>Cucu Samsudin</t>
  </si>
  <si>
    <t>01-12-1965</t>
  </si>
  <si>
    <t>Rohaendi</t>
  </si>
  <si>
    <t>05-01-1967</t>
  </si>
  <si>
    <t>Endang Supriatna</t>
  </si>
  <si>
    <t>01-05-1965</t>
  </si>
  <si>
    <t>Acep Jamaludin</t>
  </si>
  <si>
    <t>21950305860474</t>
  </si>
  <si>
    <t>04-05-1965</t>
  </si>
  <si>
    <t>Dodi Aisjeno</t>
  </si>
  <si>
    <t>03-07-1966</t>
  </si>
  <si>
    <t>Agus Resmana</t>
  </si>
  <si>
    <t>10-06-1964</t>
  </si>
  <si>
    <t>Cawang</t>
  </si>
  <si>
    <t>05-12-1966</t>
  </si>
  <si>
    <t>05:32:48</t>
  </si>
  <si>
    <t>Selamet</t>
  </si>
  <si>
    <t>05-29-1973</t>
  </si>
  <si>
    <t>07:11:37</t>
  </si>
  <si>
    <t>09:31:57</t>
  </si>
  <si>
    <t>Slamet Supriatna</t>
  </si>
  <si>
    <t>10-04-1965</t>
  </si>
  <si>
    <t>10:02:18</t>
  </si>
  <si>
    <t>Kurniawan</t>
  </si>
  <si>
    <t>10-05-1968</t>
  </si>
  <si>
    <t>11:10:27</t>
  </si>
  <si>
    <t>13:10:43</t>
  </si>
  <si>
    <t>Ruhiat</t>
  </si>
  <si>
    <t>21970180840476</t>
  </si>
  <si>
    <t>Andi Suhendi</t>
  </si>
  <si>
    <t>2194014780173</t>
  </si>
  <si>
    <t>09-07-1965</t>
  </si>
  <si>
    <t>Yusup Hendra Permana</t>
  </si>
  <si>
    <t>05-30-1965</t>
  </si>
  <si>
    <t>Endang Suwarningsih</t>
  </si>
  <si>
    <t>21950078320973</t>
  </si>
  <si>
    <t>05-25-1965</t>
  </si>
  <si>
    <t>Lia Herawati</t>
  </si>
  <si>
    <t>21970109580977</t>
  </si>
  <si>
    <t>02-06-1965</t>
  </si>
  <si>
    <t>Wawan Sutiana</t>
  </si>
  <si>
    <t>21950201510374</t>
  </si>
  <si>
    <t>01-08-1967</t>
  </si>
  <si>
    <t>Uus Sumitra</t>
  </si>
  <si>
    <t>01-15-1967</t>
  </si>
  <si>
    <t>05:32:49</t>
  </si>
  <si>
    <t>M. Ridwan Nur Abd</t>
  </si>
  <si>
    <t>Pelda</t>
  </si>
  <si>
    <t>10-09-1973</t>
  </si>
  <si>
    <t>07:11:38</t>
  </si>
  <si>
    <t>09:31:58</t>
  </si>
  <si>
    <t>Mujiyono</t>
  </si>
  <si>
    <t>01-11-1967</t>
  </si>
  <si>
    <t>10:02:19</t>
  </si>
  <si>
    <t>Memi Yuliani</t>
  </si>
  <si>
    <t>08-13-1966</t>
  </si>
  <si>
    <t>11:10:28</t>
  </si>
  <si>
    <t>13:10:44</t>
  </si>
  <si>
    <t>Parnoto</t>
  </si>
  <si>
    <t>08-13-1967</t>
  </si>
  <si>
    <t>Beni Hermanto</t>
  </si>
  <si>
    <t>21950061150875</t>
  </si>
  <si>
    <t>10-27-1975</t>
  </si>
  <si>
    <t>Asep Atang</t>
  </si>
  <si>
    <t>06-07-1965</t>
  </si>
  <si>
    <t>Obos Sambas</t>
  </si>
  <si>
    <t>21950084830575</t>
  </si>
  <si>
    <t>04-14-1975</t>
  </si>
  <si>
    <t xml:space="preserve">Budiyono </t>
  </si>
  <si>
    <t>04-16-1965</t>
  </si>
  <si>
    <t>Toha</t>
  </si>
  <si>
    <t>599318</t>
  </si>
  <si>
    <t>06-06-1968</t>
  </si>
  <si>
    <t>Dadang</t>
  </si>
  <si>
    <t>11-19-1968</t>
  </si>
  <si>
    <t>05:32:50</t>
  </si>
  <si>
    <t>Sudarmanto</t>
  </si>
  <si>
    <t>06-05-1969</t>
  </si>
  <si>
    <t>07:11:39</t>
  </si>
  <si>
    <t>09:31:59</t>
  </si>
  <si>
    <t>Asep Ali Imron</t>
  </si>
  <si>
    <t>01-06-1974</t>
  </si>
  <si>
    <t>10:02:20</t>
  </si>
  <si>
    <t>Vinolis Elvin</t>
  </si>
  <si>
    <t>21960105791274</t>
  </si>
  <si>
    <t>09-06-1965</t>
  </si>
  <si>
    <t>11:10:29</t>
  </si>
  <si>
    <t>13:10:45</t>
  </si>
  <si>
    <t>M. Fajarudin</t>
  </si>
  <si>
    <t>21960241660577</t>
  </si>
  <si>
    <t>10-02-1968</t>
  </si>
  <si>
    <t>Suyoto</t>
  </si>
  <si>
    <t>21960107440675</t>
  </si>
  <si>
    <t>07-07-1978</t>
  </si>
  <si>
    <t>Nandang</t>
  </si>
  <si>
    <t>638293</t>
  </si>
  <si>
    <t>03-02-1965</t>
  </si>
  <si>
    <t>Ubad</t>
  </si>
  <si>
    <t>599463</t>
  </si>
  <si>
    <t>09-16-1974</t>
  </si>
  <si>
    <t>Hasbuloh</t>
  </si>
  <si>
    <t>12-21-1974</t>
  </si>
  <si>
    <t>Irin Sahirin</t>
  </si>
  <si>
    <t>05-24-1965</t>
  </si>
  <si>
    <t>Dedi Suryana</t>
  </si>
  <si>
    <t>566685</t>
  </si>
  <si>
    <t>06-15-1965</t>
  </si>
  <si>
    <t>05:32:51</t>
  </si>
  <si>
    <t>Tatang</t>
  </si>
  <si>
    <t>08-12-1969</t>
  </si>
  <si>
    <t>07:11:40</t>
  </si>
  <si>
    <t>Endep Sodikin</t>
  </si>
  <si>
    <t>06-14-1969</t>
  </si>
  <si>
    <t>10:02:21</t>
  </si>
  <si>
    <t>Wahyu</t>
  </si>
  <si>
    <t>21970015280475</t>
  </si>
  <si>
    <t>04-24-1965</t>
  </si>
  <si>
    <t>11:10:30</t>
  </si>
  <si>
    <t>13:10:46</t>
  </si>
  <si>
    <t>Sulaiman</t>
  </si>
  <si>
    <t>04-03-1966</t>
  </si>
  <si>
    <t>Cep Nuron</t>
  </si>
  <si>
    <t>03-13-1964</t>
  </si>
  <si>
    <t>Dedi Rukmansyah</t>
  </si>
  <si>
    <t>Rohman</t>
  </si>
  <si>
    <t>Asep Hidayat</t>
  </si>
  <si>
    <t>21960102800274</t>
  </si>
  <si>
    <t>06-24-1965</t>
  </si>
  <si>
    <t>Bambang Priyogo</t>
  </si>
  <si>
    <t>03-04-1967</t>
  </si>
  <si>
    <t>Tri Yeni Kurniasih</t>
  </si>
  <si>
    <t>09-08-1966</t>
  </si>
  <si>
    <t>05:32:52</t>
  </si>
  <si>
    <t>Edy Suprayitno</t>
  </si>
  <si>
    <t>05-01-1965</t>
  </si>
  <si>
    <t>07:11:41</t>
  </si>
  <si>
    <t>Ana Suwangsa</t>
  </si>
  <si>
    <t>05-17-1964</t>
  </si>
  <si>
    <t>10:02:22</t>
  </si>
  <si>
    <t>Edy Purwanto</t>
  </si>
  <si>
    <t>04-26-1976</t>
  </si>
  <si>
    <t>11:10:31</t>
  </si>
  <si>
    <t>13:10:47</t>
  </si>
  <si>
    <t>Edi Sapdi Sapari</t>
  </si>
  <si>
    <t>01-23-1973</t>
  </si>
  <si>
    <t>Wahyudi</t>
  </si>
  <si>
    <t>596223</t>
  </si>
  <si>
    <t>02-10-1965</t>
  </si>
  <si>
    <t>Dudi Kuswandi</t>
  </si>
  <si>
    <t>09-10-1973</t>
  </si>
  <si>
    <t>Ambas Hidayat</t>
  </si>
  <si>
    <t>2197001551475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</si>
</sst>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rgb="FF000000"/>
      <name val="Calibri"/>
      <family val="2"/>
      <charset val="1"/>
    </font>
    <font>
      <sz val="12"/>
      <name val="Times New Roman"/>
      <family val="1"/>
      <charset val="1"/>
    </font>
    <font>
      <sz val="8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8"/>
      <color rgb="FFFF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FF0000"/>
      <name val="Arial"/>
      <family val="2"/>
      <charset val="1"/>
    </font>
    <font>
      <b/>
      <sz val="9"/>
      <color rgb="FF000000"/>
      <name val="Arial"/>
      <family val="2"/>
      <charset val="1"/>
    </font>
    <font>
      <b/>
      <sz val="12"/>
      <name val="Times New Roman"/>
      <family val="1"/>
      <charset val="1"/>
    </font>
    <font>
      <sz val="12"/>
      <color rgb="FF000000"/>
      <name val="Times New Roman"/>
      <family val="1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Cambria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 applyProtection="1">
      <alignment horizontal="left" vertical="top"/>
    </xf>
    <xf numFmtId="49" fontId="2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2" fontId="2" fillId="0" borderId="0" xfId="0" applyNumberFormat="1" applyFont="1" applyAlignment="1" applyProtection="1">
      <alignment vertical="center"/>
    </xf>
    <xf numFmtId="2" fontId="3" fillId="0" borderId="0" xfId="0" applyNumberFormat="1" applyFont="1" applyAlignment="1" applyProtection="1">
      <alignment vertical="center"/>
    </xf>
    <xf numFmtId="2" fontId="4" fillId="0" borderId="0" xfId="0" applyNumberFormat="1" applyFont="1" applyAlignment="1" applyProtection="1">
      <alignment vertical="center"/>
    </xf>
    <xf numFmtId="0" fontId="2" fillId="0" borderId="0" xfId="0" applyFont="1" applyBorder="1" applyAlignment="1" applyProtection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 vertical="center"/>
    </xf>
    <xf numFmtId="49" fontId="2" fillId="0" borderId="0" xfId="0" applyNumberFormat="1" applyFont="1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2" fontId="3" fillId="0" borderId="0" xfId="0" applyNumberFormat="1" applyFont="1" applyBorder="1" applyAlignment="1" applyProtection="1">
      <alignment vertical="center"/>
    </xf>
    <xf numFmtId="2" fontId="4" fillId="0" borderId="0" xfId="0" applyNumberFormat="1" applyFont="1" applyBorder="1" applyAlignment="1" applyProtection="1">
      <alignment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vertical="center"/>
    </xf>
    <xf numFmtId="49" fontId="5" fillId="0" borderId="0" xfId="0" applyNumberFormat="1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vertical="center"/>
    </xf>
    <xf numFmtId="49" fontId="5" fillId="0" borderId="0" xfId="0" applyNumberFormat="1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0" fontId="9" fillId="0" borderId="0" xfId="0" applyFont="1" applyAlignment="1">
      <alignment horizontal="center"/>
    </xf>
    <xf numFmtId="49" fontId="9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49" fontId="10" fillId="0" borderId="2" xfId="0" applyNumberFormat="1" applyFont="1" applyBorder="1" applyAlignment="1" applyProtection="1">
      <alignment vertical="center"/>
    </xf>
    <xf numFmtId="49" fontId="11" fillId="0" borderId="2" xfId="0" applyNumberFormat="1" applyFont="1" applyBorder="1" applyAlignment="1" applyProtection="1">
      <alignment vertical="center"/>
    </xf>
    <xf numFmtId="49" fontId="10" fillId="0" borderId="2" xfId="0" applyNumberFormat="1" applyFont="1" applyBorder="1" applyAlignment="1" applyProtection="1">
      <alignment horizontal="left" vertical="center"/>
    </xf>
    <xf numFmtId="49" fontId="12" fillId="0" borderId="2" xfId="0" applyNumberFormat="1" applyFont="1" applyBorder="1" applyAlignment="1" applyProtection="1">
      <alignment horizontal="center" vertic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 applyProtection="1">
      <alignment horizontal="center" vertical="center"/>
    </xf>
    <xf numFmtId="1" fontId="10" fillId="0" borderId="2" xfId="0" applyNumberFormat="1" applyFont="1" applyBorder="1" applyAlignment="1" applyProtection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2" xfId="0" applyFont="1" applyBorder="1"/>
    <xf numFmtId="49" fontId="1" fillId="0" borderId="2" xfId="0" applyNumberFormat="1" applyFont="1" applyBorder="1" applyAlignment="1" applyProtection="1">
      <alignment vertical="center"/>
    </xf>
    <xf numFmtId="49" fontId="11" fillId="0" borderId="2" xfId="0" applyNumberFormat="1" applyFont="1" applyBorder="1" applyAlignment="1" applyProtection="1">
      <alignment horizontal="left" vertical="center"/>
    </xf>
    <xf numFmtId="49" fontId="12" fillId="0" borderId="2" xfId="0" applyNumberFormat="1" applyFont="1" applyBorder="1" applyAlignment="1" applyProtection="1">
      <alignment vertical="center"/>
    </xf>
    <xf numFmtId="1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0" fontId="5" fillId="0" borderId="0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11880</xdr:colOff>
      <xdr:row>1</xdr:row>
      <xdr:rowOff>190440</xdr:rowOff>
    </xdr:from>
    <xdr:to>
      <xdr:col>1</xdr:col>
      <xdr:colOff>2154960</xdr:colOff>
      <xdr:row>1</xdr:row>
      <xdr:rowOff>190440</xdr:rowOff>
    </xdr:to>
    <xdr:sp macro="" textlink="">
      <xdr:nvSpPr>
        <xdr:cNvPr id="2" name="Line 1"/>
        <xdr:cNvSpPr/>
      </xdr:nvSpPr>
      <xdr:spPr>
        <a:xfrm>
          <a:off x="11880" y="376200"/>
          <a:ext cx="273348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9525</xdr:rowOff>
        </xdr:from>
        <xdr:to>
          <xdr:col>19</xdr:col>
          <xdr:colOff>476250</xdr:colOff>
          <xdr:row>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9525</xdr:rowOff>
        </xdr:from>
        <xdr:to>
          <xdr:col>21</xdr:col>
          <xdr:colOff>600075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Bersihkan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TNI/FIX%20File/1.%20Fomat%20garjas%20periodik%20prajurit%20F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odik Prajurit"/>
      <sheetName val="Sheet2"/>
      <sheetName val="1"/>
    </sheetNames>
    <definedNames>
      <definedName name="Clear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K119"/>
  <sheetViews>
    <sheetView topLeftCell="I1" zoomScaleNormal="100" workbookViewId="0">
      <pane ySplit="11" topLeftCell="A12" activePane="bottomLeft" state="frozen"/>
      <selection pane="bottomLeft" activeCell="S16" sqref="S16"/>
    </sheetView>
  </sheetViews>
  <sheetFormatPr defaultRowHeight="15.75" x14ac:dyDescent="0.25"/>
  <cols>
    <col min="1" max="1" width="6.625" style="1"/>
    <col min="2" max="2" width="32.75" style="1"/>
    <col min="3" max="3" width="12.625" style="1"/>
    <col min="4" max="4" width="8.25" style="1"/>
    <col min="5" max="5" width="19" style="1"/>
    <col min="6" max="6" width="3.875" style="1"/>
    <col min="7" max="7" width="19.125" style="2"/>
    <col min="8" max="8" width="9.125" style="2"/>
    <col min="9" max="9" width="16.375" style="3"/>
    <col min="10" max="10" width="9.125" style="2"/>
    <col min="11" max="11" width="7.625" style="1"/>
    <col min="12" max="16" width="9.125" style="1"/>
    <col min="17" max="17" width="11.75" style="1"/>
    <col min="18" max="18" width="7.75" style="1"/>
    <col min="19" max="1025" width="9.125" style="1"/>
  </cols>
  <sheetData>
    <row r="1" spans="1:54" ht="14.65" customHeight="1" x14ac:dyDescent="0.25">
      <c r="A1" s="4" t="s">
        <v>0</v>
      </c>
      <c r="B1" s="4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8"/>
      <c r="AP1" s="9"/>
      <c r="AQ1" s="8"/>
      <c r="AR1" s="8"/>
      <c r="AS1" s="8"/>
      <c r="AT1" s="8"/>
      <c r="AU1" s="10"/>
      <c r="AV1" s="10"/>
      <c r="AW1" s="8"/>
      <c r="AX1" s="11"/>
      <c r="AY1" s="11"/>
      <c r="AZ1" s="12"/>
      <c r="BA1" s="11"/>
      <c r="BB1" s="11"/>
    </row>
    <row r="2" spans="1:54" x14ac:dyDescent="0.25">
      <c r="A2" s="4" t="s">
        <v>1</v>
      </c>
      <c r="B2" s="4"/>
      <c r="C2" s="5"/>
      <c r="D2" s="5"/>
      <c r="E2" s="5"/>
      <c r="F2" s="5"/>
      <c r="G2" s="5"/>
      <c r="H2" s="5"/>
      <c r="I2" s="5"/>
      <c r="J2" s="5"/>
      <c r="K2" s="5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8"/>
      <c r="AP2" s="9"/>
      <c r="AQ2" s="8"/>
      <c r="AR2" s="8"/>
      <c r="AS2" s="8"/>
      <c r="AT2" s="8"/>
      <c r="AU2" s="10"/>
      <c r="AV2" s="10"/>
      <c r="AW2" s="8"/>
      <c r="AX2" s="11"/>
      <c r="AY2" s="11"/>
      <c r="AZ2" s="12"/>
      <c r="BA2" s="11"/>
      <c r="BB2" s="11"/>
    </row>
    <row r="3" spans="1:54" x14ac:dyDescent="0.25">
      <c r="A3" s="13"/>
      <c r="B3" s="13"/>
      <c r="C3" s="14"/>
      <c r="D3" s="14"/>
      <c r="E3" s="14"/>
      <c r="F3" s="14"/>
      <c r="G3" s="14"/>
      <c r="H3" s="14"/>
      <c r="I3" s="14"/>
      <c r="J3" s="14"/>
      <c r="K3" s="14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7"/>
      <c r="AP3" s="18"/>
      <c r="AQ3" s="17"/>
      <c r="AR3" s="17"/>
      <c r="AS3" s="17"/>
      <c r="AT3" s="17"/>
      <c r="AU3" s="19"/>
      <c r="AV3" s="19"/>
      <c r="AW3" s="17"/>
      <c r="AX3" s="11"/>
      <c r="AY3" s="11"/>
      <c r="AZ3" s="12"/>
      <c r="BA3" s="11"/>
      <c r="BB3" s="11"/>
    </row>
    <row r="4" spans="1:54" ht="14.65" customHeight="1" x14ac:dyDescent="0.25">
      <c r="A4" s="56" t="s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</row>
    <row r="5" spans="1:54" ht="14.65" customHeight="1" x14ac:dyDescent="0.25">
      <c r="A5" s="56" t="s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</row>
    <row r="6" spans="1:54" ht="14.65" customHeight="1" x14ac:dyDescent="0.25">
      <c r="A6" s="20"/>
      <c r="B6" s="20"/>
      <c r="C6" s="20"/>
      <c r="D6" s="20"/>
      <c r="E6" s="20"/>
      <c r="F6" s="20"/>
      <c r="G6" s="22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3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4"/>
      <c r="AR6" s="24"/>
      <c r="AS6" s="24"/>
      <c r="AT6" s="24"/>
      <c r="AU6" s="25"/>
      <c r="AV6" s="25"/>
      <c r="AW6" s="20"/>
      <c r="AX6" s="20"/>
      <c r="AY6" s="20"/>
      <c r="AZ6" s="22"/>
      <c r="BA6" s="20"/>
      <c r="BB6" s="20"/>
    </row>
    <row r="7" spans="1:54" ht="14.65" customHeight="1" x14ac:dyDescent="0.25">
      <c r="A7" s="26" t="s">
        <v>4</v>
      </c>
      <c r="B7" s="26"/>
      <c r="C7" s="5"/>
      <c r="D7" s="26"/>
      <c r="E7" s="21"/>
      <c r="F7" s="21"/>
      <c r="G7" s="27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8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9"/>
      <c r="AR7" s="29"/>
      <c r="AS7" s="29"/>
      <c r="AT7" s="29"/>
      <c r="AU7" s="30"/>
      <c r="AV7" s="30"/>
      <c r="AW7" s="21"/>
      <c r="AX7" s="21"/>
      <c r="AY7" s="21"/>
      <c r="AZ7" s="27"/>
      <c r="BA7" s="21"/>
      <c r="BB7" s="21"/>
    </row>
    <row r="8" spans="1:54" ht="14.65" customHeight="1" x14ac:dyDescent="0.25">
      <c r="A8" s="31"/>
      <c r="B8" s="31"/>
      <c r="C8" s="31"/>
      <c r="D8" s="31"/>
      <c r="E8" s="31"/>
      <c r="F8" s="31"/>
      <c r="G8" s="31"/>
      <c r="H8" s="31"/>
      <c r="I8" s="32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/>
      <c r="V8"/>
    </row>
    <row r="9" spans="1:54" ht="14.65" customHeight="1" x14ac:dyDescent="0.25">
      <c r="A9" s="31"/>
      <c r="B9" s="31"/>
      <c r="C9" s="31"/>
      <c r="D9" s="31"/>
      <c r="E9" s="31"/>
      <c r="F9" s="31"/>
      <c r="G9" s="31"/>
      <c r="H9" s="31"/>
      <c r="I9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/>
      <c r="V9"/>
    </row>
    <row r="10" spans="1:54" ht="31.5" x14ac:dyDescent="0.25">
      <c r="A10" s="33" t="s">
        <v>5</v>
      </c>
      <c r="B10" s="34" t="s">
        <v>6</v>
      </c>
      <c r="C10" s="34" t="s">
        <v>7</v>
      </c>
      <c r="D10" s="34" t="s">
        <v>8</v>
      </c>
      <c r="E10" s="34" t="s">
        <v>9</v>
      </c>
      <c r="F10" s="34" t="s">
        <v>10</v>
      </c>
      <c r="G10" s="34" t="s">
        <v>11</v>
      </c>
      <c r="H10" s="34" t="s">
        <v>12</v>
      </c>
      <c r="I10" s="35" t="s">
        <v>13</v>
      </c>
      <c r="J10" s="33" t="s">
        <v>14</v>
      </c>
      <c r="K10" s="36" t="s">
        <v>15</v>
      </c>
      <c r="L10" s="33" t="s">
        <v>14</v>
      </c>
      <c r="M10" s="36" t="s">
        <v>16</v>
      </c>
      <c r="N10" s="33" t="s">
        <v>14</v>
      </c>
      <c r="O10" s="36" t="s">
        <v>17</v>
      </c>
      <c r="P10" s="33" t="s">
        <v>14</v>
      </c>
      <c r="Q10" s="36" t="s">
        <v>18</v>
      </c>
      <c r="R10" s="33" t="s">
        <v>14</v>
      </c>
      <c r="S10" s="33" t="s">
        <v>19</v>
      </c>
      <c r="T10" s="33" t="s">
        <v>14</v>
      </c>
      <c r="U10" s="36" t="s">
        <v>20</v>
      </c>
      <c r="V10" s="33" t="s">
        <v>21</v>
      </c>
    </row>
    <row r="11" spans="1:54" ht="15" customHeight="1" x14ac:dyDescent="0.25">
      <c r="A11" s="37">
        <v>1</v>
      </c>
      <c r="B11" s="34">
        <v>2</v>
      </c>
      <c r="C11" s="34">
        <v>3</v>
      </c>
      <c r="D11" s="34">
        <v>4</v>
      </c>
      <c r="E11" s="34">
        <v>5</v>
      </c>
      <c r="F11" s="37">
        <v>6</v>
      </c>
      <c r="G11" s="34">
        <v>7</v>
      </c>
      <c r="H11" s="34">
        <v>8</v>
      </c>
      <c r="I11" s="34">
        <v>9</v>
      </c>
      <c r="J11" s="34">
        <v>10</v>
      </c>
      <c r="K11" s="37">
        <v>11</v>
      </c>
      <c r="L11" s="34">
        <v>12</v>
      </c>
      <c r="M11" s="34">
        <v>13</v>
      </c>
      <c r="N11" s="34">
        <v>14</v>
      </c>
      <c r="O11" s="34">
        <v>15</v>
      </c>
      <c r="P11" s="37">
        <v>16</v>
      </c>
      <c r="Q11" s="34">
        <v>17</v>
      </c>
      <c r="R11" s="34">
        <v>18</v>
      </c>
      <c r="S11" s="34">
        <v>19</v>
      </c>
      <c r="T11" s="34">
        <v>20</v>
      </c>
      <c r="U11" s="37">
        <v>21</v>
      </c>
      <c r="V11" s="34">
        <v>22</v>
      </c>
    </row>
    <row r="12" spans="1:54" ht="15" customHeight="1" x14ac:dyDescent="0.25">
      <c r="A12" s="37">
        <v>1</v>
      </c>
      <c r="B12" s="38" t="s">
        <v>22</v>
      </c>
      <c r="C12" s="39" t="s">
        <v>23</v>
      </c>
      <c r="D12" s="40" t="s">
        <v>24</v>
      </c>
      <c r="E12" s="41" t="s">
        <v>25</v>
      </c>
      <c r="F12" s="42" t="s">
        <v>26</v>
      </c>
      <c r="G12" s="43" t="s">
        <v>27</v>
      </c>
      <c r="H12" s="34">
        <v>53</v>
      </c>
      <c r="I12" s="44" t="s">
        <v>28</v>
      </c>
      <c r="J12" s="34">
        <v>90</v>
      </c>
      <c r="K12" s="34">
        <v>21</v>
      </c>
      <c r="L12" s="34">
        <v>92</v>
      </c>
      <c r="M12" s="34">
        <v>32</v>
      </c>
      <c r="N12" s="34">
        <v>92</v>
      </c>
      <c r="O12" s="34">
        <v>18</v>
      </c>
      <c r="P12" s="34">
        <v>80</v>
      </c>
      <c r="Q12" s="34">
        <v>87</v>
      </c>
      <c r="R12" s="34">
        <v>90</v>
      </c>
      <c r="S12" s="44" t="s">
        <v>28</v>
      </c>
      <c r="T12" s="34">
        <v>87</v>
      </c>
      <c r="U12" s="45">
        <f t="shared" ref="U12:U17" si="0">(J12+L12+N12+P12+R12+T12)/6</f>
        <v>88.5</v>
      </c>
      <c r="V12" s="34" t="s">
        <v>29</v>
      </c>
    </row>
    <row r="13" spans="1:54" ht="15" customHeight="1" x14ac:dyDescent="0.25">
      <c r="A13" s="37">
        <v>2</v>
      </c>
      <c r="B13" s="38" t="s">
        <v>30</v>
      </c>
      <c r="C13" s="39" t="s">
        <v>31</v>
      </c>
      <c r="D13" s="40" t="s">
        <v>32</v>
      </c>
      <c r="E13" s="41" t="s">
        <v>33</v>
      </c>
      <c r="F13" s="42" t="s">
        <v>26</v>
      </c>
      <c r="G13" s="43" t="s">
        <v>34</v>
      </c>
      <c r="H13" s="34">
        <v>50</v>
      </c>
      <c r="I13" s="44" t="s">
        <v>35</v>
      </c>
      <c r="J13" s="34">
        <v>84</v>
      </c>
      <c r="K13" s="34">
        <v>20</v>
      </c>
      <c r="L13" s="34">
        <v>90</v>
      </c>
      <c r="M13" s="34">
        <v>21</v>
      </c>
      <c r="N13" s="34">
        <v>87</v>
      </c>
      <c r="O13" s="34">
        <v>20</v>
      </c>
      <c r="P13" s="34">
        <v>87</v>
      </c>
      <c r="Q13" s="34">
        <v>91</v>
      </c>
      <c r="R13" s="34">
        <v>100</v>
      </c>
      <c r="S13" s="44" t="s">
        <v>36</v>
      </c>
      <c r="T13" s="34">
        <v>90</v>
      </c>
      <c r="U13" s="45">
        <f t="shared" si="0"/>
        <v>89.666666666666671</v>
      </c>
      <c r="V13" s="34">
        <v>1</v>
      </c>
    </row>
    <row r="14" spans="1:54" ht="15" customHeight="1" x14ac:dyDescent="0.25">
      <c r="A14" s="37">
        <v>3</v>
      </c>
      <c r="B14" s="38" t="s">
        <v>37</v>
      </c>
      <c r="C14" s="39" t="s">
        <v>31</v>
      </c>
      <c r="D14" s="40" t="s">
        <v>32</v>
      </c>
      <c r="E14" s="41" t="s">
        <v>38</v>
      </c>
      <c r="F14" s="42" t="s">
        <v>26</v>
      </c>
      <c r="G14" s="43" t="s">
        <v>39</v>
      </c>
      <c r="H14" s="34">
        <v>28</v>
      </c>
      <c r="I14" s="44" t="s">
        <v>40</v>
      </c>
      <c r="J14" s="34">
        <v>75</v>
      </c>
      <c r="K14" s="34">
        <v>18</v>
      </c>
      <c r="L14" s="34">
        <v>87</v>
      </c>
      <c r="M14" s="34">
        <v>18</v>
      </c>
      <c r="N14" s="34">
        <v>91</v>
      </c>
      <c r="O14" s="34">
        <v>21</v>
      </c>
      <c r="P14" s="34">
        <v>89</v>
      </c>
      <c r="Q14" s="34">
        <v>90</v>
      </c>
      <c r="R14" s="34">
        <v>98</v>
      </c>
      <c r="S14" s="44" t="s">
        <v>40</v>
      </c>
      <c r="T14" s="43">
        <v>88</v>
      </c>
      <c r="U14" s="45">
        <f t="shared" si="0"/>
        <v>88</v>
      </c>
      <c r="V14" s="34">
        <v>2</v>
      </c>
    </row>
    <row r="15" spans="1:54" ht="15" customHeight="1" x14ac:dyDescent="0.25">
      <c r="A15" s="37">
        <v>4</v>
      </c>
      <c r="B15" s="38" t="s">
        <v>41</v>
      </c>
      <c r="C15" s="39" t="s">
        <v>31</v>
      </c>
      <c r="D15" s="40" t="s">
        <v>42</v>
      </c>
      <c r="E15" s="41" t="s">
        <v>43</v>
      </c>
      <c r="F15" s="42" t="s">
        <v>44</v>
      </c>
      <c r="G15" s="43" t="s">
        <v>45</v>
      </c>
      <c r="H15" s="34">
        <v>42</v>
      </c>
      <c r="I15" s="44" t="s">
        <v>46</v>
      </c>
      <c r="J15" s="34">
        <v>70</v>
      </c>
      <c r="K15" s="34">
        <v>15</v>
      </c>
      <c r="L15" s="34">
        <v>89</v>
      </c>
      <c r="M15" s="43">
        <v>21</v>
      </c>
      <c r="N15" s="34">
        <v>90</v>
      </c>
      <c r="O15" s="34">
        <v>18</v>
      </c>
      <c r="P15" s="34">
        <v>79</v>
      </c>
      <c r="Q15" s="34">
        <v>87</v>
      </c>
      <c r="R15" s="34">
        <v>87</v>
      </c>
      <c r="S15" s="44" t="s">
        <v>47</v>
      </c>
      <c r="T15" s="34">
        <v>92</v>
      </c>
      <c r="U15" s="45">
        <f t="shared" si="0"/>
        <v>84.5</v>
      </c>
      <c r="V15" s="34">
        <v>3</v>
      </c>
    </row>
    <row r="16" spans="1:54" ht="15" customHeight="1" x14ac:dyDescent="0.25">
      <c r="A16" s="37">
        <v>4.5999999999999996</v>
      </c>
      <c r="B16" s="38" t="s">
        <v>48</v>
      </c>
      <c r="C16" s="39" t="s">
        <v>31</v>
      </c>
      <c r="D16" s="40" t="s">
        <v>49</v>
      </c>
      <c r="E16" s="41" t="s">
        <v>50</v>
      </c>
      <c r="F16" s="42" t="s">
        <v>44</v>
      </c>
      <c r="G16" s="46" t="s">
        <v>51</v>
      </c>
      <c r="H16" s="47">
        <v>40</v>
      </c>
      <c r="I16" s="44" t="s">
        <v>36</v>
      </c>
      <c r="J16" s="34">
        <v>80</v>
      </c>
      <c r="K16" s="34">
        <v>20</v>
      </c>
      <c r="L16" s="34">
        <v>91</v>
      </c>
      <c r="M16" s="34">
        <v>20</v>
      </c>
      <c r="N16" s="34">
        <v>87</v>
      </c>
      <c r="O16" s="34">
        <v>23</v>
      </c>
      <c r="P16" s="34">
        <v>88</v>
      </c>
      <c r="Q16" s="34">
        <v>90</v>
      </c>
      <c r="R16" s="34">
        <v>98</v>
      </c>
      <c r="S16" s="44" t="s">
        <v>46</v>
      </c>
      <c r="T16" s="34">
        <v>90</v>
      </c>
      <c r="U16" s="45">
        <f t="shared" si="0"/>
        <v>89</v>
      </c>
      <c r="V16" s="48" t="s">
        <v>52</v>
      </c>
    </row>
    <row r="17" spans="1:22" x14ac:dyDescent="0.25">
      <c r="A17" s="37">
        <v>5.68</v>
      </c>
      <c r="B17" s="38" t="s">
        <v>53</v>
      </c>
      <c r="C17" s="39" t="s">
        <v>31</v>
      </c>
      <c r="D17" s="40" t="s">
        <v>32</v>
      </c>
      <c r="E17" s="41" t="s">
        <v>54</v>
      </c>
      <c r="F17" s="42" t="s">
        <v>26</v>
      </c>
      <c r="G17" s="46" t="s">
        <v>55</v>
      </c>
      <c r="H17" s="47">
        <v>36</v>
      </c>
      <c r="I17" s="44" t="s">
        <v>47</v>
      </c>
      <c r="J17" s="43">
        <v>67</v>
      </c>
      <c r="K17" s="43">
        <v>21</v>
      </c>
      <c r="L17" s="43">
        <v>88</v>
      </c>
      <c r="M17" s="34">
        <v>15</v>
      </c>
      <c r="N17" s="43">
        <v>88</v>
      </c>
      <c r="O17" s="43">
        <v>30</v>
      </c>
      <c r="P17" s="43">
        <v>99</v>
      </c>
      <c r="Q17" s="43">
        <v>87</v>
      </c>
      <c r="R17" s="43">
        <v>89</v>
      </c>
      <c r="S17" s="44" t="s">
        <v>35</v>
      </c>
      <c r="T17" s="34">
        <v>87</v>
      </c>
      <c r="U17" s="45">
        <f t="shared" si="0"/>
        <v>86.333333333333329</v>
      </c>
      <c r="V17" s="49"/>
    </row>
    <row r="18" spans="1:22" x14ac:dyDescent="0.25">
      <c r="A18" s="37">
        <v>6.6</v>
      </c>
      <c r="B18" s="38" t="s">
        <v>56</v>
      </c>
      <c r="C18" s="50" t="s">
        <v>57</v>
      </c>
      <c r="D18" s="51" t="s">
        <v>32</v>
      </c>
      <c r="E18" s="41" t="s">
        <v>58</v>
      </c>
      <c r="F18" s="42" t="s">
        <v>26</v>
      </c>
      <c r="G18" s="46" t="s">
        <v>59</v>
      </c>
      <c r="H18" s="47">
        <v>52</v>
      </c>
      <c r="I18" s="44" t="s">
        <v>28</v>
      </c>
      <c r="J18" s="34">
        <v>90</v>
      </c>
      <c r="K18" s="34">
        <v>21</v>
      </c>
      <c r="L18" s="34">
        <v>92</v>
      </c>
      <c r="M18" s="34">
        <v>32</v>
      </c>
      <c r="N18" s="34">
        <v>92</v>
      </c>
      <c r="O18" s="34">
        <v>18</v>
      </c>
      <c r="P18" s="34">
        <v>80</v>
      </c>
      <c r="Q18" s="34">
        <v>87</v>
      </c>
      <c r="R18" s="34">
        <v>90</v>
      </c>
      <c r="S18" s="44" t="s">
        <v>28</v>
      </c>
      <c r="T18" s="34">
        <v>87</v>
      </c>
      <c r="U18" s="45">
        <v>88.5</v>
      </c>
      <c r="V18" s="49"/>
    </row>
    <row r="19" spans="1:22" x14ac:dyDescent="0.25">
      <c r="A19" s="37">
        <v>7.52</v>
      </c>
      <c r="B19" s="38" t="s">
        <v>60</v>
      </c>
      <c r="C19" s="39" t="s">
        <v>57</v>
      </c>
      <c r="D19" s="52" t="s">
        <v>61</v>
      </c>
      <c r="E19" s="41" t="s">
        <v>62</v>
      </c>
      <c r="F19" s="42" t="s">
        <v>26</v>
      </c>
      <c r="G19" s="46" t="s">
        <v>63</v>
      </c>
      <c r="H19" s="47">
        <v>39</v>
      </c>
      <c r="I19" s="44" t="s">
        <v>40</v>
      </c>
      <c r="J19" s="34">
        <v>75</v>
      </c>
      <c r="K19" s="34">
        <v>18</v>
      </c>
      <c r="L19" s="34">
        <v>87</v>
      </c>
      <c r="M19" s="34">
        <v>18</v>
      </c>
      <c r="N19" s="34">
        <v>91</v>
      </c>
      <c r="O19" s="34">
        <v>21</v>
      </c>
      <c r="P19" s="34">
        <v>89</v>
      </c>
      <c r="Q19" s="34">
        <v>90</v>
      </c>
      <c r="R19" s="34">
        <v>98</v>
      </c>
      <c r="S19" s="44" t="s">
        <v>40</v>
      </c>
      <c r="T19" s="43">
        <v>88</v>
      </c>
      <c r="U19" s="45">
        <v>88</v>
      </c>
      <c r="V19" s="49"/>
    </row>
    <row r="20" spans="1:22" x14ac:dyDescent="0.25">
      <c r="A20" s="37">
        <v>8.44</v>
      </c>
      <c r="B20" s="38" t="s">
        <v>64</v>
      </c>
      <c r="C20" s="50" t="s">
        <v>57</v>
      </c>
      <c r="D20" s="40" t="s">
        <v>32</v>
      </c>
      <c r="E20" s="41" t="s">
        <v>65</v>
      </c>
      <c r="F20" s="42" t="s">
        <v>26</v>
      </c>
      <c r="G20" s="46" t="s">
        <v>66</v>
      </c>
      <c r="H20" s="47">
        <v>39</v>
      </c>
      <c r="I20" s="44" t="s">
        <v>36</v>
      </c>
      <c r="J20" s="34">
        <v>80</v>
      </c>
      <c r="K20" s="34">
        <v>20</v>
      </c>
      <c r="L20" s="34">
        <v>91</v>
      </c>
      <c r="M20" s="34">
        <v>20</v>
      </c>
      <c r="N20" s="34">
        <v>87</v>
      </c>
      <c r="O20" s="34">
        <v>23</v>
      </c>
      <c r="P20" s="34">
        <v>88</v>
      </c>
      <c r="Q20" s="34">
        <v>90</v>
      </c>
      <c r="R20" s="34">
        <v>98</v>
      </c>
      <c r="S20" s="44" t="s">
        <v>46</v>
      </c>
      <c r="T20" s="34">
        <v>90</v>
      </c>
      <c r="U20" s="45">
        <v>89</v>
      </c>
      <c r="V20" s="49"/>
    </row>
    <row r="21" spans="1:22" x14ac:dyDescent="0.25">
      <c r="A21" s="37">
        <v>9.36</v>
      </c>
      <c r="B21" s="38" t="s">
        <v>67</v>
      </c>
      <c r="C21" s="39" t="s">
        <v>57</v>
      </c>
      <c r="D21" s="52" t="s">
        <v>32</v>
      </c>
      <c r="E21" s="41" t="s">
        <v>68</v>
      </c>
      <c r="F21" s="42" t="s">
        <v>26</v>
      </c>
      <c r="G21" s="46" t="s">
        <v>69</v>
      </c>
      <c r="H21" s="47">
        <v>35</v>
      </c>
      <c r="I21" s="44" t="s">
        <v>28</v>
      </c>
      <c r="J21" s="34">
        <v>90</v>
      </c>
      <c r="K21" s="34">
        <v>21</v>
      </c>
      <c r="L21" s="34">
        <v>92</v>
      </c>
      <c r="M21" s="34">
        <v>32</v>
      </c>
      <c r="N21" s="34">
        <v>92</v>
      </c>
      <c r="O21" s="34">
        <v>18</v>
      </c>
      <c r="P21" s="34">
        <v>80</v>
      </c>
      <c r="Q21" s="34">
        <v>87</v>
      </c>
      <c r="R21" s="34">
        <v>90</v>
      </c>
      <c r="S21" s="44" t="s">
        <v>28</v>
      </c>
      <c r="T21" s="34">
        <v>87</v>
      </c>
      <c r="U21" s="45">
        <v>88.5</v>
      </c>
      <c r="V21" s="49"/>
    </row>
    <row r="22" spans="1:22" x14ac:dyDescent="0.25">
      <c r="A22" s="37">
        <v>10.28</v>
      </c>
      <c r="B22" s="38" t="s">
        <v>70</v>
      </c>
      <c r="C22" s="39" t="s">
        <v>57</v>
      </c>
      <c r="D22" s="40" t="s">
        <v>32</v>
      </c>
      <c r="E22" s="41" t="s">
        <v>71</v>
      </c>
      <c r="F22" s="42" t="s">
        <v>26</v>
      </c>
      <c r="G22" s="46" t="s">
        <v>72</v>
      </c>
      <c r="H22" s="47">
        <v>49</v>
      </c>
      <c r="I22" s="44" t="s">
        <v>73</v>
      </c>
      <c r="J22" s="37">
        <v>80.733333333333306</v>
      </c>
      <c r="K22" s="37">
        <v>20.133333333333301</v>
      </c>
      <c r="L22" s="37">
        <v>90.3333333333333</v>
      </c>
      <c r="M22" s="37">
        <v>23.6</v>
      </c>
      <c r="N22" s="37">
        <v>89.933333333333294</v>
      </c>
      <c r="O22" s="37">
        <v>21.933333333333302</v>
      </c>
      <c r="P22" s="37">
        <v>86.6</v>
      </c>
      <c r="Q22" s="37">
        <v>88.266666666666694</v>
      </c>
      <c r="R22" s="37">
        <v>93.3333333333333</v>
      </c>
      <c r="S22" s="44" t="s">
        <v>73</v>
      </c>
      <c r="T22" s="34">
        <v>88</v>
      </c>
      <c r="U22" s="45">
        <f t="shared" ref="U22:U27" si="1">(J22+L22+N22+P22+R22+T22)/6</f>
        <v>88.155555555555523</v>
      </c>
      <c r="V22" s="49"/>
    </row>
    <row r="23" spans="1:22" x14ac:dyDescent="0.25">
      <c r="A23" s="37">
        <v>11.2</v>
      </c>
      <c r="B23" s="38" t="s">
        <v>74</v>
      </c>
      <c r="C23" s="39" t="s">
        <v>57</v>
      </c>
      <c r="D23" s="40" t="s">
        <v>32</v>
      </c>
      <c r="E23" s="41" t="s">
        <v>75</v>
      </c>
      <c r="F23" s="42" t="s">
        <v>26</v>
      </c>
      <c r="G23" s="46" t="s">
        <v>76</v>
      </c>
      <c r="H23" s="47">
        <v>41</v>
      </c>
      <c r="I23" s="44" t="s">
        <v>77</v>
      </c>
      <c r="J23" s="37">
        <v>80.848484848484802</v>
      </c>
      <c r="K23" s="37">
        <v>20.2484848484848</v>
      </c>
      <c r="L23" s="37">
        <v>90.412121212121207</v>
      </c>
      <c r="M23" s="37">
        <v>23.727272727272702</v>
      </c>
      <c r="N23" s="37">
        <v>89.975757575757598</v>
      </c>
      <c r="O23" s="37">
        <v>22.103030303030302</v>
      </c>
      <c r="P23" s="37">
        <v>86.727272727272705</v>
      </c>
      <c r="Q23" s="37">
        <v>88.206060606060603</v>
      </c>
      <c r="R23" s="37">
        <v>93.248484848484793</v>
      </c>
      <c r="S23" s="44" t="s">
        <v>78</v>
      </c>
      <c r="T23" s="37">
        <v>87.890909090909105</v>
      </c>
      <c r="U23" s="45">
        <f t="shared" si="1"/>
        <v>88.183838383838363</v>
      </c>
      <c r="V23" s="49"/>
    </row>
    <row r="24" spans="1:22" x14ac:dyDescent="0.25">
      <c r="A24" s="37">
        <v>12.12</v>
      </c>
      <c r="B24" s="38" t="s">
        <v>79</v>
      </c>
      <c r="C24" s="39" t="s">
        <v>57</v>
      </c>
      <c r="D24" s="40" t="s">
        <v>61</v>
      </c>
      <c r="E24" s="41" t="s">
        <v>80</v>
      </c>
      <c r="F24" s="42" t="s">
        <v>26</v>
      </c>
      <c r="G24" s="46" t="s">
        <v>81</v>
      </c>
      <c r="H24" s="47">
        <v>54</v>
      </c>
      <c r="I24" s="44" t="s">
        <v>82</v>
      </c>
      <c r="J24" s="37">
        <v>80.963636363636297</v>
      </c>
      <c r="K24" s="37">
        <v>20.363636363636399</v>
      </c>
      <c r="L24" s="37">
        <v>90.490909090909099</v>
      </c>
      <c r="M24" s="37">
        <v>23.854545454545502</v>
      </c>
      <c r="N24" s="37">
        <v>90.018181818181802</v>
      </c>
      <c r="O24" s="37">
        <v>22.272727272727298</v>
      </c>
      <c r="P24" s="37">
        <v>86.854545454545502</v>
      </c>
      <c r="Q24" s="37">
        <v>88.145454545454498</v>
      </c>
      <c r="R24" s="37">
        <v>93.1636363636364</v>
      </c>
      <c r="S24" s="44" t="s">
        <v>82</v>
      </c>
      <c r="T24" s="53">
        <v>87.781818181818196</v>
      </c>
      <c r="U24" s="45">
        <f t="shared" si="1"/>
        <v>88.212121212121204</v>
      </c>
      <c r="V24" s="49"/>
    </row>
    <row r="25" spans="1:22" x14ac:dyDescent="0.25">
      <c r="A25" s="37">
        <v>13.04</v>
      </c>
      <c r="B25" s="38" t="s">
        <v>83</v>
      </c>
      <c r="C25" s="39" t="s">
        <v>57</v>
      </c>
      <c r="D25" s="40" t="s">
        <v>32</v>
      </c>
      <c r="E25" s="41" t="s">
        <v>84</v>
      </c>
      <c r="F25" s="42" t="s">
        <v>26</v>
      </c>
      <c r="G25" s="46" t="s">
        <v>85</v>
      </c>
      <c r="H25" s="47">
        <v>41</v>
      </c>
      <c r="I25" s="44" t="s">
        <v>86</v>
      </c>
      <c r="J25" s="37">
        <v>81.078787878787907</v>
      </c>
      <c r="K25" s="37">
        <v>20.478787878787902</v>
      </c>
      <c r="L25" s="37">
        <v>90.569696969697006</v>
      </c>
      <c r="M25" s="53">
        <v>23.981818181818198</v>
      </c>
      <c r="N25" s="37">
        <v>90.060606060606105</v>
      </c>
      <c r="O25" s="37">
        <v>22.442424242424199</v>
      </c>
      <c r="P25" s="37">
        <v>86.981818181818198</v>
      </c>
      <c r="Q25" s="37">
        <v>88.084848484848493</v>
      </c>
      <c r="R25" s="37">
        <v>93.078787878787907</v>
      </c>
      <c r="S25" s="44" t="s">
        <v>87</v>
      </c>
      <c r="T25" s="37">
        <v>87.6727272727273</v>
      </c>
      <c r="U25" s="45">
        <f t="shared" si="1"/>
        <v>88.240404040404073</v>
      </c>
      <c r="V25" s="49"/>
    </row>
    <row r="26" spans="1:22" x14ac:dyDescent="0.25">
      <c r="A26" s="37">
        <v>13.96</v>
      </c>
      <c r="B26" s="38" t="s">
        <v>88</v>
      </c>
      <c r="C26" s="39" t="s">
        <v>57</v>
      </c>
      <c r="D26" s="40" t="s">
        <v>61</v>
      </c>
      <c r="E26" s="41" t="s">
        <v>89</v>
      </c>
      <c r="F26" s="42" t="s">
        <v>26</v>
      </c>
      <c r="G26" s="46" t="s">
        <v>90</v>
      </c>
      <c r="H26" s="47">
        <v>51</v>
      </c>
      <c r="I26" s="44" t="s">
        <v>78</v>
      </c>
      <c r="J26" s="37">
        <v>81.193939393939402</v>
      </c>
      <c r="K26" s="37">
        <v>20.593939393939401</v>
      </c>
      <c r="L26" s="37">
        <v>90.648484848484799</v>
      </c>
      <c r="M26" s="37">
        <v>24.109090909090899</v>
      </c>
      <c r="N26" s="37">
        <v>90.103030303030295</v>
      </c>
      <c r="O26" s="37">
        <v>22.612121212121199</v>
      </c>
      <c r="P26" s="37">
        <v>87.109090909090895</v>
      </c>
      <c r="Q26" s="37">
        <v>88.024242424242402</v>
      </c>
      <c r="R26" s="37">
        <v>92.993939393939399</v>
      </c>
      <c r="S26" s="44" t="s">
        <v>86</v>
      </c>
      <c r="T26" s="37">
        <v>87.563636363636306</v>
      </c>
      <c r="U26" s="45">
        <f t="shared" si="1"/>
        <v>88.268686868686856</v>
      </c>
      <c r="V26" s="49"/>
    </row>
    <row r="27" spans="1:22" x14ac:dyDescent="0.25">
      <c r="A27" s="37">
        <v>14.88</v>
      </c>
      <c r="B27" s="38" t="s">
        <v>91</v>
      </c>
      <c r="C27" s="39" t="s">
        <v>57</v>
      </c>
      <c r="D27" s="40" t="s">
        <v>32</v>
      </c>
      <c r="E27" s="41" t="s">
        <v>92</v>
      </c>
      <c r="F27" s="42" t="s">
        <v>26</v>
      </c>
      <c r="G27" s="46" t="s">
        <v>93</v>
      </c>
      <c r="H27" s="47">
        <v>53</v>
      </c>
      <c r="I27" s="44" t="s">
        <v>87</v>
      </c>
      <c r="J27" s="53">
        <v>81.309090909090898</v>
      </c>
      <c r="K27" s="53">
        <v>20.7090909090909</v>
      </c>
      <c r="L27" s="53">
        <v>90.727272727272705</v>
      </c>
      <c r="M27" s="37">
        <v>24.236363636363599</v>
      </c>
      <c r="N27" s="53">
        <v>90.145454545454598</v>
      </c>
      <c r="O27" s="53">
        <v>22.781818181818199</v>
      </c>
      <c r="P27" s="53">
        <v>87.236363636363606</v>
      </c>
      <c r="Q27" s="53">
        <v>87.963636363636397</v>
      </c>
      <c r="R27" s="53">
        <v>92.909090909090907</v>
      </c>
      <c r="S27" s="44" t="s">
        <v>77</v>
      </c>
      <c r="T27" s="37">
        <v>87.454545454545396</v>
      </c>
      <c r="U27" s="45">
        <f t="shared" si="1"/>
        <v>88.296969696969668</v>
      </c>
      <c r="V27" s="49"/>
    </row>
    <row r="28" spans="1:22" x14ac:dyDescent="0.25">
      <c r="A28" s="37">
        <v>15.8</v>
      </c>
      <c r="B28" s="38" t="s">
        <v>94</v>
      </c>
      <c r="C28" s="39" t="s">
        <v>57</v>
      </c>
      <c r="D28" s="40" t="s">
        <v>32</v>
      </c>
      <c r="E28" s="41" t="s">
        <v>95</v>
      </c>
      <c r="F28" s="42" t="s">
        <v>26</v>
      </c>
      <c r="G28" s="46" t="s">
        <v>96</v>
      </c>
      <c r="H28" s="47">
        <v>54</v>
      </c>
      <c r="I28" s="44" t="s">
        <v>73</v>
      </c>
      <c r="J28" s="37">
        <v>81.424242424242394</v>
      </c>
      <c r="K28" s="37">
        <v>20.824242424242399</v>
      </c>
      <c r="L28" s="37">
        <v>90.806060606060598</v>
      </c>
      <c r="M28" s="37">
        <v>24.363636363636399</v>
      </c>
      <c r="N28" s="37">
        <v>90.187878787878802</v>
      </c>
      <c r="O28" s="37">
        <v>22.9515151515151</v>
      </c>
      <c r="P28" s="37">
        <v>87.363636363636402</v>
      </c>
      <c r="Q28" s="37">
        <v>87.903030303030306</v>
      </c>
      <c r="R28" s="37">
        <v>92.824242424242399</v>
      </c>
      <c r="S28" s="44" t="s">
        <v>73</v>
      </c>
      <c r="T28" s="37">
        <v>87.345454545454501</v>
      </c>
      <c r="U28" s="45">
        <v>88.75</v>
      </c>
      <c r="V28" s="49"/>
    </row>
    <row r="29" spans="1:22" x14ac:dyDescent="0.25">
      <c r="A29" s="37">
        <v>16.72</v>
      </c>
      <c r="B29" s="38" t="s">
        <v>97</v>
      </c>
      <c r="C29" s="39" t="s">
        <v>57</v>
      </c>
      <c r="D29" s="40" t="s">
        <v>32</v>
      </c>
      <c r="E29" s="41" t="s">
        <v>98</v>
      </c>
      <c r="F29" s="42" t="s">
        <v>26</v>
      </c>
      <c r="G29" s="46" t="s">
        <v>99</v>
      </c>
      <c r="H29" s="47">
        <v>49</v>
      </c>
      <c r="I29" s="44" t="s">
        <v>82</v>
      </c>
      <c r="J29" s="37">
        <v>81.539393939393904</v>
      </c>
      <c r="K29" s="37">
        <v>20.939393939393899</v>
      </c>
      <c r="L29" s="37">
        <v>90.884848484848504</v>
      </c>
      <c r="M29" s="37">
        <v>24.490909090909099</v>
      </c>
      <c r="N29" s="37">
        <v>90.230303030303006</v>
      </c>
      <c r="O29" s="37">
        <v>23.1212121212121</v>
      </c>
      <c r="P29" s="37">
        <v>87.490909090909099</v>
      </c>
      <c r="Q29" s="37">
        <v>87.842424242424201</v>
      </c>
      <c r="R29" s="37">
        <v>92.739393939393906</v>
      </c>
      <c r="S29" s="44" t="s">
        <v>82</v>
      </c>
      <c r="T29" s="53">
        <v>87.236363636363606</v>
      </c>
      <c r="U29" s="45">
        <v>88.85</v>
      </c>
      <c r="V29" s="49"/>
    </row>
    <row r="30" spans="1:22" x14ac:dyDescent="0.25">
      <c r="A30" s="37">
        <v>17.64</v>
      </c>
      <c r="B30" s="38" t="s">
        <v>100</v>
      </c>
      <c r="C30" s="39" t="s">
        <v>57</v>
      </c>
      <c r="D30" s="40" t="s">
        <v>61</v>
      </c>
      <c r="E30" s="41" t="s">
        <v>101</v>
      </c>
      <c r="F30" s="42" t="s">
        <v>26</v>
      </c>
      <c r="G30" s="46" t="s">
        <v>102</v>
      </c>
      <c r="H30" s="47">
        <v>52</v>
      </c>
      <c r="I30" s="44" t="s">
        <v>78</v>
      </c>
      <c r="J30" s="37">
        <v>81.654545454545399</v>
      </c>
      <c r="K30" s="37">
        <v>21.054545454545501</v>
      </c>
      <c r="L30" s="37">
        <v>90.963636363636397</v>
      </c>
      <c r="M30" s="37">
        <v>24.6181818181818</v>
      </c>
      <c r="N30" s="37">
        <v>90.272727272727295</v>
      </c>
      <c r="O30" s="37">
        <v>23.2909090909091</v>
      </c>
      <c r="P30" s="37">
        <v>87.618181818181796</v>
      </c>
      <c r="Q30" s="37">
        <v>87.781818181818196</v>
      </c>
      <c r="R30" s="37">
        <v>92.654545454545499</v>
      </c>
      <c r="S30" s="44" t="s">
        <v>86</v>
      </c>
      <c r="T30" s="37">
        <v>87.127272727272697</v>
      </c>
      <c r="U30" s="45">
        <v>88.95</v>
      </c>
      <c r="V30" s="49"/>
    </row>
    <row r="31" spans="1:22" x14ac:dyDescent="0.25">
      <c r="A31" s="37">
        <v>18.559999999999999</v>
      </c>
      <c r="B31" s="38" t="s">
        <v>103</v>
      </c>
      <c r="C31" s="39" t="s">
        <v>57</v>
      </c>
      <c r="D31" s="40" t="s">
        <v>32</v>
      </c>
      <c r="E31" s="41" t="s">
        <v>104</v>
      </c>
      <c r="F31" s="42" t="s">
        <v>26</v>
      </c>
      <c r="G31" s="46" t="s">
        <v>105</v>
      </c>
      <c r="H31" s="47">
        <v>51</v>
      </c>
      <c r="I31" s="44" t="s">
        <v>73</v>
      </c>
      <c r="J31" s="37">
        <v>81.769696969696994</v>
      </c>
      <c r="K31" s="37">
        <v>21.169696969697</v>
      </c>
      <c r="L31" s="37">
        <v>91.042424242424204</v>
      </c>
      <c r="M31" s="37">
        <v>24.7454545454545</v>
      </c>
      <c r="N31" s="37">
        <v>90.315151515151499</v>
      </c>
      <c r="O31" s="37">
        <v>23.4606060606061</v>
      </c>
      <c r="P31" s="37">
        <v>87.745454545454507</v>
      </c>
      <c r="Q31" s="37">
        <v>87.721212121212105</v>
      </c>
      <c r="R31" s="37">
        <v>92.569696969697006</v>
      </c>
      <c r="S31" s="44" t="s">
        <v>73</v>
      </c>
      <c r="T31" s="37">
        <v>87.018181818181802</v>
      </c>
      <c r="U31" s="45">
        <v>89.05</v>
      </c>
      <c r="V31" s="49"/>
    </row>
    <row r="32" spans="1:22" x14ac:dyDescent="0.25">
      <c r="A32" s="37">
        <v>19.48</v>
      </c>
      <c r="B32" s="38" t="s">
        <v>106</v>
      </c>
      <c r="C32" s="39" t="s">
        <v>57</v>
      </c>
      <c r="D32" s="40" t="s">
        <v>32</v>
      </c>
      <c r="E32" s="41" t="s">
        <v>107</v>
      </c>
      <c r="F32" s="42" t="s">
        <v>26</v>
      </c>
      <c r="G32" s="46" t="s">
        <v>108</v>
      </c>
      <c r="H32" s="47">
        <v>54</v>
      </c>
      <c r="I32" s="44" t="s">
        <v>109</v>
      </c>
      <c r="J32" s="37">
        <v>81.884848484848504</v>
      </c>
      <c r="K32" s="37">
        <v>21.284848484848499</v>
      </c>
      <c r="L32" s="37">
        <v>91.121212121212096</v>
      </c>
      <c r="M32" s="37">
        <v>24.8727272727273</v>
      </c>
      <c r="N32" s="37">
        <v>90.357575757575802</v>
      </c>
      <c r="O32" s="37">
        <v>23.630303030303001</v>
      </c>
      <c r="P32" s="37">
        <v>87.872727272727303</v>
      </c>
      <c r="Q32" s="37">
        <v>87.660606060606099</v>
      </c>
      <c r="R32" s="37">
        <v>92.484848484848499</v>
      </c>
      <c r="S32" s="44" t="s">
        <v>109</v>
      </c>
      <c r="T32" s="37">
        <v>86.909090909090907</v>
      </c>
      <c r="U32" s="45">
        <f t="shared" ref="U32:U37" si="2">(J32+L32+N32+P32+R32+T32)/6</f>
        <v>88.438383838383842</v>
      </c>
      <c r="V32" s="49"/>
    </row>
    <row r="33" spans="1:22" x14ac:dyDescent="0.25">
      <c r="A33" s="37">
        <v>20.399999999999999</v>
      </c>
      <c r="B33" s="38" t="s">
        <v>110</v>
      </c>
      <c r="C33" s="39" t="s">
        <v>57</v>
      </c>
      <c r="D33" s="40" t="s">
        <v>32</v>
      </c>
      <c r="E33" s="41">
        <v>636314</v>
      </c>
      <c r="F33" s="42" t="s">
        <v>26</v>
      </c>
      <c r="G33" s="46" t="s">
        <v>111</v>
      </c>
      <c r="H33" s="47">
        <v>49</v>
      </c>
      <c r="I33" s="44" t="s">
        <v>112</v>
      </c>
      <c r="J33" s="37">
        <v>82</v>
      </c>
      <c r="K33" s="37">
        <v>21.4</v>
      </c>
      <c r="L33" s="37">
        <v>91.2</v>
      </c>
      <c r="M33" s="37">
        <v>25</v>
      </c>
      <c r="N33" s="37">
        <v>90.4</v>
      </c>
      <c r="O33" s="37">
        <v>23.8</v>
      </c>
      <c r="P33" s="37">
        <v>88</v>
      </c>
      <c r="Q33" s="37">
        <v>87.6</v>
      </c>
      <c r="R33" s="37">
        <v>92.4</v>
      </c>
      <c r="S33" s="44" t="s">
        <v>113</v>
      </c>
      <c r="T33" s="37">
        <v>86.8</v>
      </c>
      <c r="U33" s="45">
        <f t="shared" si="2"/>
        <v>88.466666666666654</v>
      </c>
      <c r="V33" s="49"/>
    </row>
    <row r="34" spans="1:22" x14ac:dyDescent="0.25">
      <c r="A34" s="37">
        <v>21.32</v>
      </c>
      <c r="B34" s="38" t="s">
        <v>114</v>
      </c>
      <c r="C34" s="39" t="s">
        <v>57</v>
      </c>
      <c r="D34" s="40" t="s">
        <v>32</v>
      </c>
      <c r="E34" s="41" t="s">
        <v>115</v>
      </c>
      <c r="F34" s="42" t="s">
        <v>26</v>
      </c>
      <c r="G34" s="46" t="s">
        <v>116</v>
      </c>
      <c r="H34" s="47">
        <v>52</v>
      </c>
      <c r="I34" s="44" t="s">
        <v>117</v>
      </c>
      <c r="J34" s="37">
        <v>82.115151515151496</v>
      </c>
      <c r="K34" s="37">
        <v>21.515151515151501</v>
      </c>
      <c r="L34" s="37">
        <v>91.278787878787895</v>
      </c>
      <c r="M34" s="37">
        <v>25.1272727272727</v>
      </c>
      <c r="N34" s="37">
        <v>90.442424242424295</v>
      </c>
      <c r="O34" s="37">
        <v>23.969696969697001</v>
      </c>
      <c r="P34" s="37">
        <v>88.127272727272697</v>
      </c>
      <c r="Q34" s="37">
        <v>87.539393939393904</v>
      </c>
      <c r="R34" s="37">
        <v>92.315151515151499</v>
      </c>
      <c r="S34" s="44" t="s">
        <v>117</v>
      </c>
      <c r="T34" s="53">
        <v>86.690909090909102</v>
      </c>
      <c r="U34" s="45">
        <f t="shared" si="2"/>
        <v>88.494949494949495</v>
      </c>
      <c r="V34" s="49"/>
    </row>
    <row r="35" spans="1:22" x14ac:dyDescent="0.25">
      <c r="A35" s="37">
        <v>22.24</v>
      </c>
      <c r="B35" s="38" t="s">
        <v>118</v>
      </c>
      <c r="C35" s="39" t="s">
        <v>57</v>
      </c>
      <c r="D35" s="40" t="s">
        <v>32</v>
      </c>
      <c r="E35" s="41" t="s">
        <v>119</v>
      </c>
      <c r="F35" s="42" t="s">
        <v>26</v>
      </c>
      <c r="G35" s="46" t="s">
        <v>120</v>
      </c>
      <c r="H35" s="47">
        <v>41</v>
      </c>
      <c r="I35" s="44" t="s">
        <v>121</v>
      </c>
      <c r="J35" s="37">
        <v>82.230303030303006</v>
      </c>
      <c r="K35" s="37">
        <v>21.630303030303001</v>
      </c>
      <c r="L35" s="37">
        <v>91.357575757575802</v>
      </c>
      <c r="M35" s="53">
        <v>25.2545454545455</v>
      </c>
      <c r="N35" s="37">
        <v>90.484848484848499</v>
      </c>
      <c r="O35" s="37">
        <v>24.139393939393901</v>
      </c>
      <c r="P35" s="37">
        <v>88.254545454545493</v>
      </c>
      <c r="Q35" s="37">
        <v>87.478787878787898</v>
      </c>
      <c r="R35" s="37">
        <v>92.230303030303006</v>
      </c>
      <c r="S35" s="44" t="s">
        <v>122</v>
      </c>
      <c r="T35" s="37">
        <v>86.581818181818207</v>
      </c>
      <c r="U35" s="45">
        <f t="shared" si="2"/>
        <v>88.523232323232335</v>
      </c>
      <c r="V35" s="49"/>
    </row>
    <row r="36" spans="1:22" x14ac:dyDescent="0.25">
      <c r="A36" s="37">
        <v>23.16</v>
      </c>
      <c r="B36" s="38" t="s">
        <v>123</v>
      </c>
      <c r="C36" s="39" t="s">
        <v>57</v>
      </c>
      <c r="D36" s="40" t="s">
        <v>24</v>
      </c>
      <c r="E36" s="41" t="s">
        <v>124</v>
      </c>
      <c r="F36" s="42" t="s">
        <v>26</v>
      </c>
      <c r="G36" s="46" t="s">
        <v>125</v>
      </c>
      <c r="H36" s="47">
        <v>49</v>
      </c>
      <c r="I36" s="44" t="s">
        <v>113</v>
      </c>
      <c r="J36" s="37">
        <v>82.345454545454501</v>
      </c>
      <c r="K36" s="37">
        <v>21.7454545454545</v>
      </c>
      <c r="L36" s="37">
        <v>91.436363636363595</v>
      </c>
      <c r="M36" s="37">
        <v>25.3818181818182</v>
      </c>
      <c r="N36" s="37">
        <v>90.527272727272702</v>
      </c>
      <c r="O36" s="37">
        <v>24.309090909090902</v>
      </c>
      <c r="P36" s="37">
        <v>88.381818181818204</v>
      </c>
      <c r="Q36" s="37">
        <v>87.418181818181793</v>
      </c>
      <c r="R36" s="37">
        <v>92.145454545454598</v>
      </c>
      <c r="S36" s="44" t="s">
        <v>121</v>
      </c>
      <c r="T36" s="37">
        <v>86.472727272727298</v>
      </c>
      <c r="U36" s="45">
        <f t="shared" si="2"/>
        <v>88.551515151515147</v>
      </c>
      <c r="V36" s="49"/>
    </row>
    <row r="37" spans="1:22" x14ac:dyDescent="0.25">
      <c r="A37" s="37">
        <v>24.08</v>
      </c>
      <c r="B37" s="38" t="s">
        <v>126</v>
      </c>
      <c r="C37" s="39" t="s">
        <v>57</v>
      </c>
      <c r="D37" s="40" t="s">
        <v>61</v>
      </c>
      <c r="E37" s="41" t="s">
        <v>127</v>
      </c>
      <c r="F37" s="42" t="s">
        <v>26</v>
      </c>
      <c r="G37" s="46" t="s">
        <v>128</v>
      </c>
      <c r="H37" s="47">
        <v>48</v>
      </c>
      <c r="I37" s="44" t="s">
        <v>122</v>
      </c>
      <c r="J37" s="53">
        <v>82.460606060605997</v>
      </c>
      <c r="K37" s="53">
        <v>21.860606060606099</v>
      </c>
      <c r="L37" s="53">
        <v>91.515151515151501</v>
      </c>
      <c r="M37" s="37">
        <v>25.509090909090901</v>
      </c>
      <c r="N37" s="53">
        <v>90.569696969697006</v>
      </c>
      <c r="O37" s="53">
        <v>24.478787878787902</v>
      </c>
      <c r="P37" s="53">
        <v>88.509090909090901</v>
      </c>
      <c r="Q37" s="53">
        <v>87.357575757575702</v>
      </c>
      <c r="R37" s="53">
        <v>92.060606060606105</v>
      </c>
      <c r="S37" s="44" t="s">
        <v>112</v>
      </c>
      <c r="T37" s="37">
        <v>86.363636363636303</v>
      </c>
      <c r="U37" s="45">
        <f t="shared" si="2"/>
        <v>88.579797979797959</v>
      </c>
      <c r="V37" s="49"/>
    </row>
    <row r="38" spans="1:22" x14ac:dyDescent="0.25">
      <c r="A38" s="37">
        <v>25</v>
      </c>
      <c r="B38" s="38" t="s">
        <v>129</v>
      </c>
      <c r="C38" s="39" t="s">
        <v>57</v>
      </c>
      <c r="D38" s="40" t="s">
        <v>32</v>
      </c>
      <c r="E38" s="41" t="s">
        <v>130</v>
      </c>
      <c r="F38" s="42" t="s">
        <v>26</v>
      </c>
      <c r="G38" s="46" t="s">
        <v>131</v>
      </c>
      <c r="H38" s="47">
        <v>51</v>
      </c>
      <c r="I38" s="44" t="s">
        <v>109</v>
      </c>
      <c r="J38" s="37">
        <v>82.575757575757606</v>
      </c>
      <c r="K38" s="37">
        <v>21.975757575757601</v>
      </c>
      <c r="L38" s="37">
        <v>91.593939393939394</v>
      </c>
      <c r="M38" s="37">
        <v>25.636363636363601</v>
      </c>
      <c r="N38" s="37">
        <v>90.612121212121195</v>
      </c>
      <c r="O38" s="37">
        <v>24.648484848484799</v>
      </c>
      <c r="P38" s="37">
        <v>88.636363636363598</v>
      </c>
      <c r="Q38" s="37">
        <v>87.296969696969697</v>
      </c>
      <c r="R38" s="37">
        <v>91.975757575757598</v>
      </c>
      <c r="S38" s="44" t="s">
        <v>109</v>
      </c>
      <c r="T38" s="37">
        <v>86.254545454545394</v>
      </c>
      <c r="U38" s="45">
        <v>89.15</v>
      </c>
      <c r="V38" s="49"/>
    </row>
    <row r="39" spans="1:22" x14ac:dyDescent="0.25">
      <c r="A39" s="37">
        <v>25.92</v>
      </c>
      <c r="B39" s="38" t="s">
        <v>132</v>
      </c>
      <c r="C39" s="39" t="s">
        <v>57</v>
      </c>
      <c r="D39" s="40" t="s">
        <v>32</v>
      </c>
      <c r="E39" s="41" t="s">
        <v>133</v>
      </c>
      <c r="F39" s="42" t="s">
        <v>26</v>
      </c>
      <c r="G39" s="46" t="s">
        <v>134</v>
      </c>
      <c r="H39" s="47">
        <v>53</v>
      </c>
      <c r="I39" s="44" t="s">
        <v>117</v>
      </c>
      <c r="J39" s="37">
        <v>82.690909090909102</v>
      </c>
      <c r="K39" s="37">
        <v>22.090909090909101</v>
      </c>
      <c r="L39" s="37">
        <v>91.6727272727273</v>
      </c>
      <c r="M39" s="37">
        <v>25.763636363636401</v>
      </c>
      <c r="N39" s="37">
        <v>90.654545454545499</v>
      </c>
      <c r="O39" s="37">
        <v>24.818181818181799</v>
      </c>
      <c r="P39" s="37">
        <v>88.763636363636394</v>
      </c>
      <c r="Q39" s="37">
        <v>87.236363636363606</v>
      </c>
      <c r="R39" s="37">
        <v>91.890909090909105</v>
      </c>
      <c r="S39" s="44" t="s">
        <v>117</v>
      </c>
      <c r="T39" s="53">
        <v>86.145454545454498</v>
      </c>
      <c r="U39" s="45">
        <v>89.25</v>
      </c>
      <c r="V39" s="49"/>
    </row>
    <row r="40" spans="1:22" x14ac:dyDescent="0.25">
      <c r="A40" s="37">
        <v>26.84</v>
      </c>
      <c r="B40" s="38" t="s">
        <v>135</v>
      </c>
      <c r="C40" s="39" t="s">
        <v>57</v>
      </c>
      <c r="D40" s="40" t="s">
        <v>32</v>
      </c>
      <c r="E40" s="41" t="s">
        <v>136</v>
      </c>
      <c r="F40" s="42" t="s">
        <v>26</v>
      </c>
      <c r="G40" s="46" t="s">
        <v>137</v>
      </c>
      <c r="H40" s="47">
        <v>53</v>
      </c>
      <c r="I40" s="44" t="s">
        <v>113</v>
      </c>
      <c r="J40" s="37">
        <v>82.806060606060598</v>
      </c>
      <c r="K40" s="37">
        <v>22.2060606060606</v>
      </c>
      <c r="L40" s="37">
        <v>91.751515151515207</v>
      </c>
      <c r="M40" s="37">
        <v>25.890909090909101</v>
      </c>
      <c r="N40" s="37">
        <v>90.696969696969703</v>
      </c>
      <c r="O40" s="37">
        <v>24.987878787878799</v>
      </c>
      <c r="P40" s="37">
        <v>88.890909090909105</v>
      </c>
      <c r="Q40" s="37">
        <v>87.175757575757601</v>
      </c>
      <c r="R40" s="37">
        <v>91.806060606060598</v>
      </c>
      <c r="S40" s="44" t="s">
        <v>121</v>
      </c>
      <c r="T40" s="37">
        <v>86.036363636363603</v>
      </c>
      <c r="U40" s="45">
        <v>89.35</v>
      </c>
      <c r="V40" s="49"/>
    </row>
    <row r="41" spans="1:22" x14ac:dyDescent="0.25">
      <c r="A41" s="37">
        <v>27.76</v>
      </c>
      <c r="B41" s="38" t="s">
        <v>138</v>
      </c>
      <c r="C41" s="39" t="s">
        <v>57</v>
      </c>
      <c r="D41" s="40" t="s">
        <v>32</v>
      </c>
      <c r="E41" s="41" t="s">
        <v>139</v>
      </c>
      <c r="F41" s="42" t="s">
        <v>26</v>
      </c>
      <c r="G41" s="46" t="s">
        <v>140</v>
      </c>
      <c r="H41" s="47">
        <v>42</v>
      </c>
      <c r="I41" s="44" t="s">
        <v>109</v>
      </c>
      <c r="J41" s="37">
        <v>82.921212121212093</v>
      </c>
      <c r="K41" s="37">
        <v>22.321212121212099</v>
      </c>
      <c r="L41" s="37">
        <v>91.830303030303</v>
      </c>
      <c r="M41" s="37">
        <v>26.018181818181802</v>
      </c>
      <c r="N41" s="37">
        <v>90.739393939393906</v>
      </c>
      <c r="O41" s="37">
        <v>25.157575757575799</v>
      </c>
      <c r="P41" s="37">
        <v>89.018181818181802</v>
      </c>
      <c r="Q41" s="37">
        <v>87.115151515151496</v>
      </c>
      <c r="R41" s="37">
        <v>91.721212121212105</v>
      </c>
      <c r="S41" s="44" t="s">
        <v>109</v>
      </c>
      <c r="T41" s="37">
        <v>85.927272727272694</v>
      </c>
      <c r="U41" s="45">
        <v>89.45</v>
      </c>
      <c r="V41" s="49"/>
    </row>
    <row r="42" spans="1:22" x14ac:dyDescent="0.25">
      <c r="A42" s="37">
        <v>28.68</v>
      </c>
      <c r="B42" s="38" t="s">
        <v>141</v>
      </c>
      <c r="C42" s="39" t="s">
        <v>57</v>
      </c>
      <c r="D42" s="40" t="s">
        <v>142</v>
      </c>
      <c r="E42" s="41" t="s">
        <v>143</v>
      </c>
      <c r="F42" s="42" t="s">
        <v>44</v>
      </c>
      <c r="G42" s="46" t="s">
        <v>144</v>
      </c>
      <c r="H42" s="47">
        <v>54</v>
      </c>
      <c r="I42" s="44" t="s">
        <v>145</v>
      </c>
      <c r="J42" s="37">
        <v>83.036363636363603</v>
      </c>
      <c r="K42" s="37">
        <v>22.436363636363598</v>
      </c>
      <c r="L42" s="37">
        <v>91.909090909090907</v>
      </c>
      <c r="M42" s="37">
        <v>26.145454545454498</v>
      </c>
      <c r="N42" s="37">
        <v>90.781818181818196</v>
      </c>
      <c r="O42" s="37">
        <v>25.3272727272727</v>
      </c>
      <c r="P42" s="37">
        <v>89.145454545454598</v>
      </c>
      <c r="Q42" s="37">
        <v>87.054545454545405</v>
      </c>
      <c r="R42" s="37">
        <v>91.636363636363598</v>
      </c>
      <c r="S42" s="44" t="s">
        <v>145</v>
      </c>
      <c r="T42" s="37">
        <v>85.818181818181799</v>
      </c>
      <c r="U42" s="45">
        <f t="shared" ref="U42:U47" si="3">(J42+L42+N42+P42+R42+T42)/6</f>
        <v>88.721212121212105</v>
      </c>
      <c r="V42" s="49"/>
    </row>
    <row r="43" spans="1:22" x14ac:dyDescent="0.25">
      <c r="A43" s="37">
        <v>29.6</v>
      </c>
      <c r="B43" s="38" t="s">
        <v>146</v>
      </c>
      <c r="C43" s="39" t="s">
        <v>147</v>
      </c>
      <c r="D43" s="40" t="s">
        <v>32</v>
      </c>
      <c r="E43" s="41" t="s">
        <v>148</v>
      </c>
      <c r="F43" s="42" t="s">
        <v>26</v>
      </c>
      <c r="G43" s="46" t="s">
        <v>149</v>
      </c>
      <c r="H43" s="47">
        <v>52</v>
      </c>
      <c r="I43" s="44" t="s">
        <v>150</v>
      </c>
      <c r="J43" s="37">
        <v>83.151515151515099</v>
      </c>
      <c r="K43" s="37">
        <v>22.551515151515201</v>
      </c>
      <c r="L43" s="37">
        <v>91.987878787878799</v>
      </c>
      <c r="M43" s="37">
        <v>26.272727272727298</v>
      </c>
      <c r="N43" s="37">
        <v>90.824242424242399</v>
      </c>
      <c r="O43" s="37">
        <v>25.4969696969697</v>
      </c>
      <c r="P43" s="37">
        <v>89.272727272727295</v>
      </c>
      <c r="Q43" s="37">
        <v>86.993939393939399</v>
      </c>
      <c r="R43" s="37">
        <v>91.551515151515204</v>
      </c>
      <c r="S43" s="44" t="s">
        <v>151</v>
      </c>
      <c r="T43" s="37">
        <v>85.709090909090904</v>
      </c>
      <c r="U43" s="45">
        <f t="shared" si="3"/>
        <v>88.749494949494945</v>
      </c>
      <c r="V43" s="49"/>
    </row>
    <row r="44" spans="1:22" x14ac:dyDescent="0.25">
      <c r="A44" s="37">
        <v>30.52</v>
      </c>
      <c r="B44" s="38" t="s">
        <v>152</v>
      </c>
      <c r="C44" s="39" t="s">
        <v>57</v>
      </c>
      <c r="D44" s="40" t="s">
        <v>24</v>
      </c>
      <c r="E44" s="41" t="s">
        <v>153</v>
      </c>
      <c r="F44" s="42" t="s">
        <v>26</v>
      </c>
      <c r="G44" s="46" t="s">
        <v>154</v>
      </c>
      <c r="H44" s="47">
        <v>54</v>
      </c>
      <c r="I44" s="44" t="s">
        <v>155</v>
      </c>
      <c r="J44" s="37">
        <v>83.266666666666694</v>
      </c>
      <c r="K44" s="37">
        <v>22.6666666666667</v>
      </c>
      <c r="L44" s="37">
        <v>92.066666666666706</v>
      </c>
      <c r="M44" s="37">
        <v>26.4</v>
      </c>
      <c r="N44" s="37">
        <v>90.866666666666703</v>
      </c>
      <c r="O44" s="37">
        <v>25.6666666666667</v>
      </c>
      <c r="P44" s="37">
        <v>89.4</v>
      </c>
      <c r="Q44" s="37">
        <v>86.933333333333294</v>
      </c>
      <c r="R44" s="37">
        <v>91.466666666666697</v>
      </c>
      <c r="S44" s="44" t="s">
        <v>155</v>
      </c>
      <c r="T44" s="53">
        <v>85.6</v>
      </c>
      <c r="U44" s="45">
        <f t="shared" si="3"/>
        <v>88.777777777777814</v>
      </c>
      <c r="V44" s="49"/>
    </row>
    <row r="45" spans="1:22" x14ac:dyDescent="0.25">
      <c r="A45" s="37">
        <v>31.44</v>
      </c>
      <c r="B45" s="38" t="s">
        <v>156</v>
      </c>
      <c r="C45" s="39" t="s">
        <v>57</v>
      </c>
      <c r="D45" s="40" t="s">
        <v>32</v>
      </c>
      <c r="E45" s="41" t="s">
        <v>157</v>
      </c>
      <c r="F45" s="42" t="s">
        <v>26</v>
      </c>
      <c r="G45" s="46" t="s">
        <v>158</v>
      </c>
      <c r="H45" s="47">
        <v>48</v>
      </c>
      <c r="I45" s="44" t="s">
        <v>159</v>
      </c>
      <c r="J45" s="37">
        <v>83.381818181818204</v>
      </c>
      <c r="K45" s="37">
        <v>22.781818181818199</v>
      </c>
      <c r="L45" s="37">
        <v>92.145454545454498</v>
      </c>
      <c r="M45" s="53">
        <v>26.527272727272699</v>
      </c>
      <c r="N45" s="37">
        <v>90.909090909090907</v>
      </c>
      <c r="O45" s="37">
        <v>25.8363636363636</v>
      </c>
      <c r="P45" s="37">
        <v>89.527272727272702</v>
      </c>
      <c r="Q45" s="37">
        <v>86.872727272727303</v>
      </c>
      <c r="R45" s="37">
        <v>91.381818181818204</v>
      </c>
      <c r="S45" s="44" t="s">
        <v>160</v>
      </c>
      <c r="T45" s="37">
        <v>85.490909090909099</v>
      </c>
      <c r="U45" s="45">
        <f t="shared" si="3"/>
        <v>88.806060606060598</v>
      </c>
      <c r="V45" s="49"/>
    </row>
    <row r="46" spans="1:22" x14ac:dyDescent="0.25">
      <c r="A46" s="37">
        <v>32.36</v>
      </c>
      <c r="B46" s="38" t="s">
        <v>161</v>
      </c>
      <c r="C46" s="39" t="s">
        <v>57</v>
      </c>
      <c r="D46" s="40" t="s">
        <v>32</v>
      </c>
      <c r="E46" s="41" t="s">
        <v>162</v>
      </c>
      <c r="F46" s="42" t="s">
        <v>26</v>
      </c>
      <c r="G46" s="46" t="s">
        <v>163</v>
      </c>
      <c r="H46" s="47">
        <v>43</v>
      </c>
      <c r="I46" s="44" t="s">
        <v>151</v>
      </c>
      <c r="J46" s="37">
        <v>83.4969696969697</v>
      </c>
      <c r="K46" s="37">
        <v>22.896969696969698</v>
      </c>
      <c r="L46" s="37">
        <v>92.224242424242405</v>
      </c>
      <c r="M46" s="37">
        <v>26.654545454545499</v>
      </c>
      <c r="N46" s="37">
        <v>90.951515151515196</v>
      </c>
      <c r="O46" s="37">
        <v>26.006060606060601</v>
      </c>
      <c r="P46" s="37">
        <v>89.654545454545499</v>
      </c>
      <c r="Q46" s="37">
        <v>86.812121212121198</v>
      </c>
      <c r="R46" s="37">
        <v>91.296969696969697</v>
      </c>
      <c r="S46" s="44" t="s">
        <v>159</v>
      </c>
      <c r="T46" s="37">
        <v>85.381818181818204</v>
      </c>
      <c r="U46" s="45">
        <f t="shared" si="3"/>
        <v>88.834343434343452</v>
      </c>
      <c r="V46" s="49"/>
    </row>
    <row r="47" spans="1:22" x14ac:dyDescent="0.25">
      <c r="A47" s="37">
        <v>33.28</v>
      </c>
      <c r="B47" s="38" t="s">
        <v>164</v>
      </c>
      <c r="C47" s="39" t="s">
        <v>57</v>
      </c>
      <c r="D47" s="40" t="s">
        <v>42</v>
      </c>
      <c r="E47" s="41" t="s">
        <v>165</v>
      </c>
      <c r="F47" s="42" t="s">
        <v>26</v>
      </c>
      <c r="G47" s="46" t="s">
        <v>166</v>
      </c>
      <c r="H47" s="47">
        <v>44</v>
      </c>
      <c r="I47" s="44" t="s">
        <v>160</v>
      </c>
      <c r="J47" s="53">
        <v>83.612121212121195</v>
      </c>
      <c r="K47" s="53">
        <v>23.012121212121201</v>
      </c>
      <c r="L47" s="53">
        <v>92.303030303030297</v>
      </c>
      <c r="M47" s="37">
        <v>26.781818181818199</v>
      </c>
      <c r="N47" s="53">
        <v>90.993939393939399</v>
      </c>
      <c r="O47" s="53">
        <v>26.175757575757601</v>
      </c>
      <c r="P47" s="53">
        <v>89.781818181818196</v>
      </c>
      <c r="Q47" s="53">
        <v>86.751515151515093</v>
      </c>
      <c r="R47" s="53">
        <v>91.212121212121204</v>
      </c>
      <c r="S47" s="44" t="s">
        <v>150</v>
      </c>
      <c r="T47" s="37">
        <v>85.272727272727295</v>
      </c>
      <c r="U47" s="45">
        <f t="shared" si="3"/>
        <v>88.86262626262625</v>
      </c>
      <c r="V47" s="49"/>
    </row>
    <row r="48" spans="1:22" x14ac:dyDescent="0.25">
      <c r="A48" s="37">
        <v>34.200000000000003</v>
      </c>
      <c r="B48" s="38" t="s">
        <v>167</v>
      </c>
      <c r="C48" s="39" t="s">
        <v>147</v>
      </c>
      <c r="D48" s="40" t="s">
        <v>32</v>
      </c>
      <c r="E48" s="41" t="s">
        <v>168</v>
      </c>
      <c r="F48" s="42" t="s">
        <v>26</v>
      </c>
      <c r="G48" s="46" t="s">
        <v>169</v>
      </c>
      <c r="H48" s="47">
        <v>43</v>
      </c>
      <c r="I48" s="44" t="s">
        <v>145</v>
      </c>
      <c r="J48" s="37">
        <v>83.727272727272705</v>
      </c>
      <c r="K48" s="37">
        <v>23.1272727272727</v>
      </c>
      <c r="L48" s="37">
        <v>92.381818181818204</v>
      </c>
      <c r="M48" s="37">
        <v>26.909090909090899</v>
      </c>
      <c r="N48" s="37">
        <v>91.036363636363603</v>
      </c>
      <c r="O48" s="37">
        <v>26.345454545454501</v>
      </c>
      <c r="P48" s="37">
        <v>89.909090909090907</v>
      </c>
      <c r="Q48" s="37">
        <v>86.690909090909102</v>
      </c>
      <c r="R48" s="37">
        <v>91.127272727272697</v>
      </c>
      <c r="S48" s="44" t="s">
        <v>145</v>
      </c>
      <c r="T48" s="37">
        <v>85.1636363636363</v>
      </c>
      <c r="U48" s="45">
        <v>89.55</v>
      </c>
      <c r="V48" s="49"/>
    </row>
    <row r="49" spans="1:22" x14ac:dyDescent="0.25">
      <c r="A49" s="37">
        <v>35.119999999999997</v>
      </c>
      <c r="B49" s="38" t="s">
        <v>170</v>
      </c>
      <c r="C49" s="39" t="s">
        <v>171</v>
      </c>
      <c r="D49" s="40" t="s">
        <v>172</v>
      </c>
      <c r="E49" s="41" t="s">
        <v>75</v>
      </c>
      <c r="F49" s="42" t="s">
        <v>26</v>
      </c>
      <c r="G49" s="46" t="s">
        <v>173</v>
      </c>
      <c r="H49" s="47">
        <v>50</v>
      </c>
      <c r="I49" s="44" t="s">
        <v>155</v>
      </c>
      <c r="J49" s="37">
        <v>83.842424242424201</v>
      </c>
      <c r="K49" s="37">
        <v>23.2424242424242</v>
      </c>
      <c r="L49" s="37">
        <v>92.460606060606096</v>
      </c>
      <c r="M49" s="37">
        <v>27.0363636363636</v>
      </c>
      <c r="N49" s="37">
        <v>91.078787878787907</v>
      </c>
      <c r="O49" s="37">
        <v>26.515151515151501</v>
      </c>
      <c r="P49" s="37">
        <v>90.036363636363603</v>
      </c>
      <c r="Q49" s="37">
        <v>86.630303030302997</v>
      </c>
      <c r="R49" s="37">
        <v>91.042424242424204</v>
      </c>
      <c r="S49" s="44" t="s">
        <v>155</v>
      </c>
      <c r="T49" s="53">
        <v>85.054545454545405</v>
      </c>
      <c r="U49" s="45">
        <v>89.65</v>
      </c>
      <c r="V49" s="49"/>
    </row>
    <row r="50" spans="1:22" x14ac:dyDescent="0.25">
      <c r="A50" s="37">
        <v>36.04</v>
      </c>
      <c r="B50" s="54" t="s">
        <v>174</v>
      </c>
      <c r="C50" s="55" t="s">
        <v>175</v>
      </c>
      <c r="D50" s="40" t="s">
        <v>176</v>
      </c>
      <c r="E50" s="41" t="s">
        <v>177</v>
      </c>
      <c r="F50" s="42" t="s">
        <v>26</v>
      </c>
      <c r="G50" s="46" t="s">
        <v>178</v>
      </c>
      <c r="H50" s="47">
        <v>54</v>
      </c>
      <c r="I50" s="44" t="s">
        <v>151</v>
      </c>
      <c r="J50" s="37">
        <v>83.957575757575697</v>
      </c>
      <c r="K50" s="37">
        <v>23.357575757575798</v>
      </c>
      <c r="L50" s="37">
        <v>92.539393939393904</v>
      </c>
      <c r="M50" s="37">
        <v>27.1636363636364</v>
      </c>
      <c r="N50" s="37">
        <v>91.121212121212096</v>
      </c>
      <c r="O50" s="37">
        <v>26.684848484848501</v>
      </c>
      <c r="P50" s="37">
        <v>90.1636363636364</v>
      </c>
      <c r="Q50" s="37">
        <v>86.569696969697006</v>
      </c>
      <c r="R50" s="37">
        <v>90.957575757575796</v>
      </c>
      <c r="S50" s="44" t="s">
        <v>159</v>
      </c>
      <c r="T50" s="37">
        <v>84.945454545454496</v>
      </c>
      <c r="U50" s="45">
        <v>89.75</v>
      </c>
      <c r="V50" s="49"/>
    </row>
    <row r="51" spans="1:22" x14ac:dyDescent="0.25">
      <c r="A51" s="37">
        <v>36.96</v>
      </c>
      <c r="B51" s="54" t="s">
        <v>179</v>
      </c>
      <c r="C51" s="55" t="s">
        <v>175</v>
      </c>
      <c r="D51" s="49"/>
      <c r="E51" s="41">
        <v>606777</v>
      </c>
      <c r="F51" s="42" t="s">
        <v>44</v>
      </c>
      <c r="G51" s="46" t="s">
        <v>180</v>
      </c>
      <c r="H51" s="47">
        <v>41</v>
      </c>
      <c r="I51" s="44" t="s">
        <v>145</v>
      </c>
      <c r="J51" s="37">
        <v>84.072727272727207</v>
      </c>
      <c r="K51" s="37">
        <v>23.472727272727301</v>
      </c>
      <c r="L51" s="37">
        <v>92.618181818181796</v>
      </c>
      <c r="M51" s="37">
        <v>27.2909090909091</v>
      </c>
      <c r="N51" s="37">
        <v>91.1636363636364</v>
      </c>
      <c r="O51" s="37">
        <v>26.854545454545502</v>
      </c>
      <c r="P51" s="37">
        <v>90.290909090909096</v>
      </c>
      <c r="Q51" s="37">
        <v>86.509090909090901</v>
      </c>
      <c r="R51" s="37">
        <v>90.872727272727303</v>
      </c>
      <c r="S51" s="44" t="s">
        <v>145</v>
      </c>
      <c r="T51" s="37">
        <v>84.8363636363636</v>
      </c>
      <c r="U51" s="45">
        <v>89.85</v>
      </c>
      <c r="V51" s="49"/>
    </row>
    <row r="52" spans="1:22" x14ac:dyDescent="0.25">
      <c r="A52" s="37">
        <v>37.880000000000003</v>
      </c>
      <c r="B52" s="54" t="s">
        <v>181</v>
      </c>
      <c r="C52" s="55" t="s">
        <v>175</v>
      </c>
      <c r="D52" s="49"/>
      <c r="E52" s="41">
        <v>637952</v>
      </c>
      <c r="F52" s="42" t="s">
        <v>44</v>
      </c>
      <c r="G52" s="46" t="s">
        <v>182</v>
      </c>
      <c r="H52" s="47">
        <v>36</v>
      </c>
      <c r="I52" s="44" t="s">
        <v>183</v>
      </c>
      <c r="J52" s="37">
        <v>84.187878787878802</v>
      </c>
      <c r="K52" s="37">
        <v>23.5878787878788</v>
      </c>
      <c r="L52" s="37">
        <v>92.696969696969703</v>
      </c>
      <c r="M52" s="37">
        <v>27.4181818181818</v>
      </c>
      <c r="N52" s="37">
        <v>91.206060606060603</v>
      </c>
      <c r="O52" s="37">
        <v>27.024242424242399</v>
      </c>
      <c r="P52" s="37">
        <v>90.418181818181793</v>
      </c>
      <c r="Q52" s="37">
        <v>86.448484848484796</v>
      </c>
      <c r="R52" s="37">
        <v>90.787878787878796</v>
      </c>
      <c r="S52" s="44" t="s">
        <v>183</v>
      </c>
      <c r="T52" s="37">
        <v>84.727272727272705</v>
      </c>
      <c r="U52" s="45">
        <f t="shared" ref="U52:U57" si="4">(J52+L52+N52+P52+R52+T52)/6</f>
        <v>89.004040404040396</v>
      </c>
      <c r="V52" s="49"/>
    </row>
    <row r="53" spans="1:22" x14ac:dyDescent="0.25">
      <c r="A53" s="37">
        <v>38.799999999999997</v>
      </c>
      <c r="B53" s="54" t="s">
        <v>184</v>
      </c>
      <c r="C53" s="55" t="s">
        <v>175</v>
      </c>
      <c r="D53" s="49"/>
      <c r="E53" s="41" t="s">
        <v>185</v>
      </c>
      <c r="F53" s="42" t="s">
        <v>44</v>
      </c>
      <c r="G53" s="46" t="s">
        <v>186</v>
      </c>
      <c r="H53" s="47">
        <v>49</v>
      </c>
      <c r="I53" s="44" t="s">
        <v>187</v>
      </c>
      <c r="J53" s="37">
        <v>84.303030303030297</v>
      </c>
      <c r="K53" s="37">
        <v>23.7030303030303</v>
      </c>
      <c r="L53" s="37">
        <v>92.775757575757595</v>
      </c>
      <c r="M53" s="37">
        <v>27.545454545454501</v>
      </c>
      <c r="N53" s="37">
        <v>91.248484848484793</v>
      </c>
      <c r="O53" s="37">
        <v>27.193939393939399</v>
      </c>
      <c r="P53" s="37">
        <v>90.545454545454504</v>
      </c>
      <c r="Q53" s="37">
        <v>86.387878787878805</v>
      </c>
      <c r="R53" s="37">
        <v>90.703030303030303</v>
      </c>
      <c r="S53" s="44" t="s">
        <v>188</v>
      </c>
      <c r="T53" s="37">
        <v>84.618181818181796</v>
      </c>
      <c r="U53" s="45">
        <f t="shared" si="4"/>
        <v>89.032323232323208</v>
      </c>
      <c r="V53" s="49"/>
    </row>
    <row r="54" spans="1:22" x14ac:dyDescent="0.25">
      <c r="A54" s="37">
        <v>39.72</v>
      </c>
      <c r="B54" s="54" t="s">
        <v>189</v>
      </c>
      <c r="C54" s="39" t="s">
        <v>175</v>
      </c>
      <c r="D54" s="49"/>
      <c r="E54" s="41" t="s">
        <v>190</v>
      </c>
      <c r="F54" s="42" t="s">
        <v>26</v>
      </c>
      <c r="G54" s="46" t="s">
        <v>191</v>
      </c>
      <c r="H54" s="47">
        <v>49</v>
      </c>
      <c r="I54" s="44" t="s">
        <v>192</v>
      </c>
      <c r="J54" s="37">
        <v>84.418181818181793</v>
      </c>
      <c r="K54" s="37">
        <v>23.818181818181799</v>
      </c>
      <c r="L54" s="37">
        <v>92.854545454545502</v>
      </c>
      <c r="M54" s="37">
        <v>27.6727272727273</v>
      </c>
      <c r="N54" s="37">
        <v>91.290909090909096</v>
      </c>
      <c r="O54" s="37">
        <v>27.363636363636399</v>
      </c>
      <c r="P54" s="37">
        <v>90.6727272727273</v>
      </c>
      <c r="Q54" s="37">
        <v>86.3272727272727</v>
      </c>
      <c r="R54" s="37">
        <v>90.618181818181796</v>
      </c>
      <c r="S54" s="44" t="s">
        <v>192</v>
      </c>
      <c r="T54" s="53">
        <v>84.509090909090901</v>
      </c>
      <c r="U54" s="45">
        <f t="shared" si="4"/>
        <v>89.060606060606062</v>
      </c>
      <c r="V54" s="49"/>
    </row>
    <row r="55" spans="1:22" x14ac:dyDescent="0.25">
      <c r="A55" s="37">
        <v>40.64</v>
      </c>
      <c r="B55" s="54" t="s">
        <v>193</v>
      </c>
      <c r="C55" s="39" t="s">
        <v>175</v>
      </c>
      <c r="D55" s="49"/>
      <c r="E55" s="41" t="s">
        <v>194</v>
      </c>
      <c r="F55" s="42" t="s">
        <v>26</v>
      </c>
      <c r="G55" s="46" t="s">
        <v>195</v>
      </c>
      <c r="H55" s="47">
        <v>46</v>
      </c>
      <c r="I55" s="44" t="s">
        <v>196</v>
      </c>
      <c r="J55" s="37">
        <v>84.533333333333303</v>
      </c>
      <c r="K55" s="37">
        <v>23.933333333333302</v>
      </c>
      <c r="L55" s="37">
        <v>92.933333333333294</v>
      </c>
      <c r="M55" s="53">
        <v>27.8</v>
      </c>
      <c r="N55" s="37">
        <v>91.3333333333333</v>
      </c>
      <c r="O55" s="37">
        <v>27.533333333333299</v>
      </c>
      <c r="P55" s="37">
        <v>90.8</v>
      </c>
      <c r="Q55" s="37">
        <v>86.266666666666694</v>
      </c>
      <c r="R55" s="37">
        <v>90.533333333333303</v>
      </c>
      <c r="S55" s="44" t="s">
        <v>197</v>
      </c>
      <c r="T55" s="37">
        <v>84.4</v>
      </c>
      <c r="U55" s="45">
        <f t="shared" si="4"/>
        <v>89.08888888888886</v>
      </c>
      <c r="V55" s="49"/>
    </row>
    <row r="56" spans="1:22" x14ac:dyDescent="0.25">
      <c r="A56" s="37">
        <v>41.56</v>
      </c>
      <c r="B56" s="54" t="s">
        <v>198</v>
      </c>
      <c r="C56" s="55" t="s">
        <v>175</v>
      </c>
      <c r="D56" s="49"/>
      <c r="E56" s="41">
        <v>599183</v>
      </c>
      <c r="F56" s="42" t="s">
        <v>26</v>
      </c>
      <c r="G56" s="46" t="s">
        <v>199</v>
      </c>
      <c r="H56" s="47">
        <v>49</v>
      </c>
      <c r="I56" s="44" t="s">
        <v>188</v>
      </c>
      <c r="J56" s="37">
        <v>84.648484848484799</v>
      </c>
      <c r="K56" s="37">
        <v>24.0484848484849</v>
      </c>
      <c r="L56" s="37">
        <v>93.012121212121201</v>
      </c>
      <c r="M56" s="37">
        <v>27.927272727272701</v>
      </c>
      <c r="N56" s="37">
        <v>91.375757575757603</v>
      </c>
      <c r="O56" s="37">
        <v>27.7030303030303</v>
      </c>
      <c r="P56" s="37">
        <v>90.927272727272694</v>
      </c>
      <c r="Q56" s="37">
        <v>86.206060606060603</v>
      </c>
      <c r="R56" s="37">
        <v>90.448484848484895</v>
      </c>
      <c r="S56" s="44" t="s">
        <v>196</v>
      </c>
      <c r="T56" s="37">
        <v>84.290909090909096</v>
      </c>
      <c r="U56" s="45">
        <f t="shared" si="4"/>
        <v>89.117171717171701</v>
      </c>
      <c r="V56" s="49"/>
    </row>
    <row r="57" spans="1:22" x14ac:dyDescent="0.25">
      <c r="A57" s="37">
        <v>42.48</v>
      </c>
      <c r="B57" s="54" t="s">
        <v>200</v>
      </c>
      <c r="C57" s="55" t="s">
        <v>175</v>
      </c>
      <c r="D57" s="49"/>
      <c r="E57" s="41">
        <v>604672</v>
      </c>
      <c r="F57" s="42" t="s">
        <v>26</v>
      </c>
      <c r="G57" s="46" t="s">
        <v>201</v>
      </c>
      <c r="H57" s="47">
        <v>48</v>
      </c>
      <c r="I57" s="44" t="s">
        <v>197</v>
      </c>
      <c r="J57" s="53">
        <v>84.763636363636394</v>
      </c>
      <c r="K57" s="53">
        <v>24.1636363636364</v>
      </c>
      <c r="L57" s="53">
        <v>93.090909090909093</v>
      </c>
      <c r="M57" s="37">
        <v>28.054545454545501</v>
      </c>
      <c r="N57" s="53">
        <v>91.418181818181793</v>
      </c>
      <c r="O57" s="53">
        <v>27.8727272727273</v>
      </c>
      <c r="P57" s="53">
        <v>91.054545454545504</v>
      </c>
      <c r="Q57" s="53">
        <v>86.145454545454498</v>
      </c>
      <c r="R57" s="53">
        <v>90.363636363636402</v>
      </c>
      <c r="S57" s="44" t="s">
        <v>187</v>
      </c>
      <c r="T57" s="37">
        <v>84.181818181818201</v>
      </c>
      <c r="U57" s="45">
        <f t="shared" si="4"/>
        <v>89.145454545454569</v>
      </c>
      <c r="V57" s="49"/>
    </row>
    <row r="58" spans="1:22" x14ac:dyDescent="0.25">
      <c r="A58" s="37">
        <v>43.4</v>
      </c>
      <c r="B58" s="54" t="s">
        <v>202</v>
      </c>
      <c r="C58" s="55" t="s">
        <v>175</v>
      </c>
      <c r="D58" s="49"/>
      <c r="E58" s="41" t="s">
        <v>203</v>
      </c>
      <c r="F58" s="42" t="s">
        <v>26</v>
      </c>
      <c r="G58" s="46" t="s">
        <v>204</v>
      </c>
      <c r="H58" s="47">
        <v>47</v>
      </c>
      <c r="I58" s="44" t="s">
        <v>183</v>
      </c>
      <c r="J58" s="37">
        <v>84.878787878787904</v>
      </c>
      <c r="K58" s="37">
        <v>24.278787878787899</v>
      </c>
      <c r="L58" s="37">
        <v>93.169696969697</v>
      </c>
      <c r="M58" s="37">
        <v>28.181818181818201</v>
      </c>
      <c r="N58" s="37">
        <v>91.460606060606096</v>
      </c>
      <c r="O58" s="37">
        <v>28.0424242424242</v>
      </c>
      <c r="P58" s="37">
        <v>91.181818181818201</v>
      </c>
      <c r="Q58" s="37">
        <v>86.084848484848493</v>
      </c>
      <c r="R58" s="37">
        <v>90.278787878787895</v>
      </c>
      <c r="S58" s="44" t="s">
        <v>183</v>
      </c>
      <c r="T58" s="37">
        <v>84.072727272727207</v>
      </c>
      <c r="U58" s="45">
        <v>89.95</v>
      </c>
      <c r="V58" s="49"/>
    </row>
    <row r="59" spans="1:22" x14ac:dyDescent="0.25">
      <c r="A59" s="37">
        <v>44.32</v>
      </c>
      <c r="B59" s="54" t="s">
        <v>205</v>
      </c>
      <c r="C59" s="55" t="s">
        <v>175</v>
      </c>
      <c r="D59" s="49"/>
      <c r="E59" s="41">
        <v>579942</v>
      </c>
      <c r="F59" s="42" t="s">
        <v>26</v>
      </c>
      <c r="G59" s="46" t="s">
        <v>206</v>
      </c>
      <c r="H59" s="47">
        <v>50</v>
      </c>
      <c r="I59" s="44" t="s">
        <v>192</v>
      </c>
      <c r="J59" s="37">
        <v>84.993939393939399</v>
      </c>
      <c r="K59" s="37">
        <v>24.393939393939402</v>
      </c>
      <c r="L59" s="37">
        <v>93.248484848484793</v>
      </c>
      <c r="M59" s="37">
        <v>28.309090909090902</v>
      </c>
      <c r="N59" s="37">
        <v>91.5030303030303</v>
      </c>
      <c r="O59" s="37">
        <v>28.2121212121212</v>
      </c>
      <c r="P59" s="37">
        <v>91.309090909090898</v>
      </c>
      <c r="Q59" s="37">
        <v>86.024242424242402</v>
      </c>
      <c r="R59" s="37">
        <v>90.193939393939402</v>
      </c>
      <c r="S59" s="44" t="s">
        <v>192</v>
      </c>
      <c r="T59" s="53">
        <v>83.963636363636297</v>
      </c>
      <c r="U59" s="45">
        <v>90.05</v>
      </c>
      <c r="V59" s="49"/>
    </row>
    <row r="60" spans="1:22" x14ac:dyDescent="0.25">
      <c r="A60" s="37">
        <v>45.24</v>
      </c>
      <c r="B60" s="54" t="s">
        <v>207</v>
      </c>
      <c r="C60" s="39" t="s">
        <v>175</v>
      </c>
      <c r="D60" s="49"/>
      <c r="E60" s="41" t="s">
        <v>208</v>
      </c>
      <c r="F60" s="42" t="s">
        <v>26</v>
      </c>
      <c r="G60" s="46" t="s">
        <v>209</v>
      </c>
      <c r="H60" s="47">
        <v>48</v>
      </c>
      <c r="I60" s="44" t="s">
        <v>188</v>
      </c>
      <c r="J60" s="37">
        <v>85.109090909090895</v>
      </c>
      <c r="K60" s="37">
        <v>24.509090909090901</v>
      </c>
      <c r="L60" s="37">
        <v>93.3272727272727</v>
      </c>
      <c r="M60" s="37">
        <v>28.436363636363598</v>
      </c>
      <c r="N60" s="37">
        <v>91.545454545454604</v>
      </c>
      <c r="O60" s="37">
        <v>28.3818181818182</v>
      </c>
      <c r="P60" s="37">
        <v>91.436363636363595</v>
      </c>
      <c r="Q60" s="37">
        <v>85.963636363636397</v>
      </c>
      <c r="R60" s="37">
        <v>90.109090909090895</v>
      </c>
      <c r="S60" s="44" t="s">
        <v>196</v>
      </c>
      <c r="T60" s="37">
        <v>83.854545454545402</v>
      </c>
      <c r="U60" s="45">
        <v>90.15</v>
      </c>
      <c r="V60" s="49"/>
    </row>
    <row r="61" spans="1:22" x14ac:dyDescent="0.25">
      <c r="A61" s="37">
        <v>46.16</v>
      </c>
      <c r="B61" s="54" t="s">
        <v>210</v>
      </c>
      <c r="C61" s="39" t="s">
        <v>175</v>
      </c>
      <c r="D61" s="49"/>
      <c r="E61" s="41" t="s">
        <v>211</v>
      </c>
      <c r="F61" s="42" t="s">
        <v>26</v>
      </c>
      <c r="G61" s="46" t="s">
        <v>212</v>
      </c>
      <c r="H61" s="47">
        <v>50</v>
      </c>
      <c r="I61" s="44" t="s">
        <v>183</v>
      </c>
      <c r="J61" s="37">
        <v>85.224242424242405</v>
      </c>
      <c r="K61" s="37">
        <v>24.6242424242424</v>
      </c>
      <c r="L61" s="37">
        <v>93.406060606060606</v>
      </c>
      <c r="M61" s="37">
        <v>28.563636363636402</v>
      </c>
      <c r="N61" s="37">
        <v>91.587878787878793</v>
      </c>
      <c r="O61" s="37">
        <v>28.551515151515101</v>
      </c>
      <c r="P61" s="37">
        <v>91.563636363636405</v>
      </c>
      <c r="Q61" s="37">
        <v>85.903030303030306</v>
      </c>
      <c r="R61" s="37">
        <v>90.024242424242402</v>
      </c>
      <c r="S61" s="44" t="s">
        <v>183</v>
      </c>
      <c r="T61" s="37">
        <v>83.745454545454507</v>
      </c>
      <c r="U61" s="45">
        <v>90.25</v>
      </c>
      <c r="V61" s="49"/>
    </row>
    <row r="62" spans="1:22" x14ac:dyDescent="0.25">
      <c r="A62" s="37">
        <v>47.08</v>
      </c>
      <c r="B62" s="54" t="s">
        <v>213</v>
      </c>
      <c r="C62" s="39" t="s">
        <v>175</v>
      </c>
      <c r="D62" s="49"/>
      <c r="E62" s="41">
        <v>606803</v>
      </c>
      <c r="F62" s="42" t="s">
        <v>26</v>
      </c>
      <c r="G62" s="46" t="s">
        <v>72</v>
      </c>
      <c r="H62" s="47">
        <v>49</v>
      </c>
      <c r="I62" s="44" t="s">
        <v>214</v>
      </c>
      <c r="J62" s="37">
        <v>85.339393939393901</v>
      </c>
      <c r="K62" s="37">
        <v>24.739393939393899</v>
      </c>
      <c r="L62" s="37">
        <v>93.484848484848499</v>
      </c>
      <c r="M62" s="37">
        <v>28.690909090909098</v>
      </c>
      <c r="N62" s="37">
        <v>91.630303030302997</v>
      </c>
      <c r="O62" s="37">
        <v>28.721212121212101</v>
      </c>
      <c r="P62" s="37">
        <v>91.690909090909102</v>
      </c>
      <c r="Q62" s="37">
        <v>85.842424242424201</v>
      </c>
      <c r="R62" s="37">
        <v>89.939393939393995</v>
      </c>
      <c r="S62" s="44" t="s">
        <v>214</v>
      </c>
      <c r="T62" s="37">
        <v>83.636363636363598</v>
      </c>
      <c r="U62" s="45">
        <f t="shared" ref="U62:U67" si="5">(J62+L62+N62+P62+R62+T62)/6</f>
        <v>89.286868686868672</v>
      </c>
      <c r="V62" s="49"/>
    </row>
    <row r="63" spans="1:22" x14ac:dyDescent="0.25">
      <c r="A63" s="37">
        <v>48</v>
      </c>
      <c r="B63" s="54" t="s">
        <v>215</v>
      </c>
      <c r="C63" s="39" t="s">
        <v>175</v>
      </c>
      <c r="D63" s="49"/>
      <c r="E63" s="41">
        <v>567311</v>
      </c>
      <c r="F63" s="42" t="s">
        <v>26</v>
      </c>
      <c r="G63" s="46" t="s">
        <v>216</v>
      </c>
      <c r="H63" s="47">
        <v>50</v>
      </c>
      <c r="I63" s="44" t="s">
        <v>217</v>
      </c>
      <c r="J63" s="37">
        <v>85.454545454545396</v>
      </c>
      <c r="K63" s="37">
        <v>24.854545454545502</v>
      </c>
      <c r="L63" s="37">
        <v>93.563636363636405</v>
      </c>
      <c r="M63" s="37">
        <v>28.818181818181799</v>
      </c>
      <c r="N63" s="37">
        <v>91.6727272727273</v>
      </c>
      <c r="O63" s="37">
        <v>28.890909090909101</v>
      </c>
      <c r="P63" s="37">
        <v>91.818181818181799</v>
      </c>
      <c r="Q63" s="37">
        <v>85.781818181818196</v>
      </c>
      <c r="R63" s="37">
        <v>89.854545454545502</v>
      </c>
      <c r="S63" s="44" t="s">
        <v>218</v>
      </c>
      <c r="T63" s="37">
        <v>83.527272727272702</v>
      </c>
      <c r="U63" s="45">
        <f t="shared" si="5"/>
        <v>89.315151515151513</v>
      </c>
      <c r="V63" s="49"/>
    </row>
    <row r="64" spans="1:22" x14ac:dyDescent="0.25">
      <c r="A64" s="37">
        <v>48.92</v>
      </c>
      <c r="B64" s="54" t="s">
        <v>219</v>
      </c>
      <c r="C64" s="39" t="s">
        <v>175</v>
      </c>
      <c r="D64" s="49"/>
      <c r="E64" s="41" t="s">
        <v>220</v>
      </c>
      <c r="F64" s="42" t="s">
        <v>26</v>
      </c>
      <c r="G64" s="46" t="s">
        <v>221</v>
      </c>
      <c r="H64" s="47">
        <v>50</v>
      </c>
      <c r="I64" s="44" t="s">
        <v>222</v>
      </c>
      <c r="J64" s="37">
        <v>85.569696969696906</v>
      </c>
      <c r="K64" s="37">
        <v>24.969696969697001</v>
      </c>
      <c r="L64" s="37">
        <v>93.642424242424198</v>
      </c>
      <c r="M64" s="37">
        <v>28.945454545454499</v>
      </c>
      <c r="N64" s="37">
        <v>91.715151515151504</v>
      </c>
      <c r="O64" s="37">
        <v>29.060606060606101</v>
      </c>
      <c r="P64" s="37">
        <v>91.945454545454595</v>
      </c>
      <c r="Q64" s="37">
        <v>85.721212121212105</v>
      </c>
      <c r="R64" s="37">
        <v>89.769696969696994</v>
      </c>
      <c r="S64" s="44" t="s">
        <v>222</v>
      </c>
      <c r="T64" s="53">
        <v>83.418181818181793</v>
      </c>
      <c r="U64" s="45">
        <f t="shared" si="5"/>
        <v>89.343434343434339</v>
      </c>
      <c r="V64" s="49"/>
    </row>
    <row r="65" spans="1:22" x14ac:dyDescent="0.25">
      <c r="A65" s="37">
        <v>49.84</v>
      </c>
      <c r="B65" s="54" t="s">
        <v>223</v>
      </c>
      <c r="C65" s="39" t="s">
        <v>175</v>
      </c>
      <c r="D65" s="49"/>
      <c r="E65" s="41" t="s">
        <v>224</v>
      </c>
      <c r="F65" s="42" t="s">
        <v>26</v>
      </c>
      <c r="G65" s="46" t="s">
        <v>225</v>
      </c>
      <c r="H65" s="47">
        <v>50</v>
      </c>
      <c r="I65" s="44" t="s">
        <v>226</v>
      </c>
      <c r="J65" s="37">
        <v>85.684848484848501</v>
      </c>
      <c r="K65" s="37">
        <v>25.0848484848485</v>
      </c>
      <c r="L65" s="37">
        <v>93.721212121212105</v>
      </c>
      <c r="M65" s="53">
        <v>29.072727272727299</v>
      </c>
      <c r="N65" s="37">
        <v>91.757575757575793</v>
      </c>
      <c r="O65" s="37">
        <v>29.230303030302998</v>
      </c>
      <c r="P65" s="37">
        <v>92.072727272727306</v>
      </c>
      <c r="Q65" s="37">
        <v>85.660606060606099</v>
      </c>
      <c r="R65" s="37">
        <v>89.684848484848501</v>
      </c>
      <c r="S65" s="44" t="s">
        <v>227</v>
      </c>
      <c r="T65" s="37">
        <v>83.309090909090898</v>
      </c>
      <c r="U65" s="45">
        <f t="shared" si="5"/>
        <v>89.371717171717179</v>
      </c>
      <c r="V65" s="49"/>
    </row>
    <row r="66" spans="1:22" x14ac:dyDescent="0.25">
      <c r="A66" s="37">
        <v>50.76</v>
      </c>
      <c r="B66" s="54" t="s">
        <v>228</v>
      </c>
      <c r="C66" s="39" t="s">
        <v>175</v>
      </c>
      <c r="D66" s="49"/>
      <c r="E66" s="41">
        <v>558049</v>
      </c>
      <c r="F66" s="42" t="s">
        <v>26</v>
      </c>
      <c r="G66" s="46" t="s">
        <v>229</v>
      </c>
      <c r="H66" s="47">
        <v>51</v>
      </c>
      <c r="I66" s="44" t="s">
        <v>218</v>
      </c>
      <c r="J66" s="37">
        <v>85.8</v>
      </c>
      <c r="K66" s="37">
        <v>25.2</v>
      </c>
      <c r="L66" s="37">
        <v>93.8</v>
      </c>
      <c r="M66" s="37">
        <v>29.2</v>
      </c>
      <c r="N66" s="37">
        <v>91.8</v>
      </c>
      <c r="O66" s="37">
        <v>29.4</v>
      </c>
      <c r="P66" s="37">
        <v>92.2</v>
      </c>
      <c r="Q66" s="37">
        <v>85.6</v>
      </c>
      <c r="R66" s="37">
        <v>89.6</v>
      </c>
      <c r="S66" s="44" t="s">
        <v>226</v>
      </c>
      <c r="T66" s="37">
        <v>83.2</v>
      </c>
      <c r="U66" s="45">
        <f t="shared" si="5"/>
        <v>89.399999999999991</v>
      </c>
      <c r="V66" s="49"/>
    </row>
    <row r="67" spans="1:22" x14ac:dyDescent="0.25">
      <c r="A67" s="37">
        <v>51.68</v>
      </c>
      <c r="B67" s="54" t="s">
        <v>230</v>
      </c>
      <c r="C67" s="55" t="s">
        <v>175</v>
      </c>
      <c r="D67" s="49"/>
      <c r="E67" s="41">
        <v>605634</v>
      </c>
      <c r="F67" s="42" t="s">
        <v>26</v>
      </c>
      <c r="G67" s="46" t="s">
        <v>231</v>
      </c>
      <c r="H67" s="47">
        <v>48</v>
      </c>
      <c r="I67" s="44" t="s">
        <v>227</v>
      </c>
      <c r="J67" s="53">
        <v>85.915151515151507</v>
      </c>
      <c r="K67" s="53">
        <v>25.315151515151499</v>
      </c>
      <c r="L67" s="53">
        <v>93.878787878787904</v>
      </c>
      <c r="M67" s="37">
        <v>29.3272727272727</v>
      </c>
      <c r="N67" s="53">
        <v>91.8424242424243</v>
      </c>
      <c r="O67" s="53">
        <v>29.569696969696999</v>
      </c>
      <c r="P67" s="53">
        <v>92.3272727272727</v>
      </c>
      <c r="Q67" s="53">
        <v>85.539393939393904</v>
      </c>
      <c r="R67" s="53">
        <v>89.515151515151501</v>
      </c>
      <c r="S67" s="44" t="s">
        <v>217</v>
      </c>
      <c r="T67" s="37">
        <v>83.090909090909093</v>
      </c>
      <c r="U67" s="45">
        <f t="shared" si="5"/>
        <v>89.428282828282832</v>
      </c>
      <c r="V67" s="49"/>
    </row>
    <row r="68" spans="1:22" x14ac:dyDescent="0.25">
      <c r="A68" s="37">
        <v>52.6</v>
      </c>
      <c r="B68" s="54" t="s">
        <v>232</v>
      </c>
      <c r="C68" s="55" t="s">
        <v>175</v>
      </c>
      <c r="D68" s="49"/>
      <c r="E68" s="41">
        <v>541597</v>
      </c>
      <c r="F68" s="42" t="s">
        <v>26</v>
      </c>
      <c r="G68" s="46" t="s">
        <v>233</v>
      </c>
      <c r="H68" s="47">
        <v>51</v>
      </c>
      <c r="I68" s="44" t="s">
        <v>214</v>
      </c>
      <c r="J68" s="37">
        <v>86.030303030303003</v>
      </c>
      <c r="K68" s="37">
        <v>25.430303030303001</v>
      </c>
      <c r="L68" s="37">
        <v>93.957575757575796</v>
      </c>
      <c r="M68" s="37">
        <v>29.454545454545499</v>
      </c>
      <c r="N68" s="37">
        <v>91.884848484848504</v>
      </c>
      <c r="O68" s="37">
        <v>29.739393939393899</v>
      </c>
      <c r="P68" s="37">
        <v>92.454545454545496</v>
      </c>
      <c r="Q68" s="37">
        <v>85.478787878787898</v>
      </c>
      <c r="R68" s="37">
        <v>89.430303030302994</v>
      </c>
      <c r="S68" s="44" t="s">
        <v>214</v>
      </c>
      <c r="T68" s="37">
        <v>82.981818181818198</v>
      </c>
      <c r="U68" s="45">
        <v>90.35</v>
      </c>
      <c r="V68" s="49"/>
    </row>
    <row r="69" spans="1:22" x14ac:dyDescent="0.25">
      <c r="A69" s="37">
        <v>53.52</v>
      </c>
      <c r="B69" s="54" t="s">
        <v>234</v>
      </c>
      <c r="C69" s="55" t="s">
        <v>175</v>
      </c>
      <c r="D69" s="49"/>
      <c r="E69" s="41" t="s">
        <v>235</v>
      </c>
      <c r="F69" s="42" t="s">
        <v>26</v>
      </c>
      <c r="G69" s="46" t="s">
        <v>236</v>
      </c>
      <c r="H69" s="47">
        <v>50</v>
      </c>
      <c r="I69" s="44" t="s">
        <v>222</v>
      </c>
      <c r="J69" s="37">
        <v>86.145454545454498</v>
      </c>
      <c r="K69" s="37">
        <v>25.545454545454501</v>
      </c>
      <c r="L69" s="37">
        <v>94.036363636363603</v>
      </c>
      <c r="M69" s="37">
        <v>29.5818181818182</v>
      </c>
      <c r="N69" s="37">
        <v>91.927272727272694</v>
      </c>
      <c r="O69" s="37">
        <v>29.909090909090899</v>
      </c>
      <c r="P69" s="37">
        <v>92.581818181818207</v>
      </c>
      <c r="Q69" s="37">
        <v>85.418181818181793</v>
      </c>
      <c r="R69" s="37">
        <v>89.345454545454601</v>
      </c>
      <c r="S69" s="44" t="s">
        <v>222</v>
      </c>
      <c r="T69" s="53">
        <v>82.872727272727204</v>
      </c>
      <c r="U69" s="45">
        <v>90.45</v>
      </c>
      <c r="V69" s="49"/>
    </row>
    <row r="70" spans="1:22" x14ac:dyDescent="0.25">
      <c r="A70" s="37">
        <v>54.44</v>
      </c>
      <c r="B70" s="54" t="s">
        <v>237</v>
      </c>
      <c r="C70" s="39" t="s">
        <v>175</v>
      </c>
      <c r="D70" s="49"/>
      <c r="E70" s="41">
        <v>558035</v>
      </c>
      <c r="F70" s="42" t="s">
        <v>26</v>
      </c>
      <c r="G70" s="46" t="s">
        <v>238</v>
      </c>
      <c r="H70" s="47">
        <v>49</v>
      </c>
      <c r="I70" s="44" t="s">
        <v>218</v>
      </c>
      <c r="J70" s="37">
        <v>86.260606060606094</v>
      </c>
      <c r="K70" s="37">
        <v>25.660606060606099</v>
      </c>
      <c r="L70" s="37">
        <v>94.115151515151496</v>
      </c>
      <c r="M70" s="37">
        <v>29.7090909090909</v>
      </c>
      <c r="N70" s="37">
        <v>91.969696969696997</v>
      </c>
      <c r="O70" s="37">
        <v>30.0787878787879</v>
      </c>
      <c r="P70" s="37">
        <v>92.709090909090904</v>
      </c>
      <c r="Q70" s="37">
        <v>85.357575757575702</v>
      </c>
      <c r="R70" s="37">
        <v>89.260606060606094</v>
      </c>
      <c r="S70" s="44" t="s">
        <v>226</v>
      </c>
      <c r="T70" s="37">
        <v>82.763636363636294</v>
      </c>
      <c r="U70" s="45">
        <v>90.55</v>
      </c>
      <c r="V70" s="49"/>
    </row>
    <row r="71" spans="1:22" x14ac:dyDescent="0.25">
      <c r="A71" s="37">
        <v>55.36</v>
      </c>
      <c r="B71" s="54" t="s">
        <v>239</v>
      </c>
      <c r="C71" s="39" t="s">
        <v>175</v>
      </c>
      <c r="D71" s="49"/>
      <c r="E71" s="41">
        <v>605523</v>
      </c>
      <c r="F71" s="42" t="s">
        <v>26</v>
      </c>
      <c r="G71" s="46" t="s">
        <v>240</v>
      </c>
      <c r="H71" s="47">
        <v>51</v>
      </c>
      <c r="I71" s="44" t="s">
        <v>214</v>
      </c>
      <c r="J71" s="37">
        <v>86.375757575757603</v>
      </c>
      <c r="K71" s="37">
        <v>25.775757575757599</v>
      </c>
      <c r="L71" s="37">
        <v>94.193939393939402</v>
      </c>
      <c r="M71" s="37">
        <v>29.8363636363637</v>
      </c>
      <c r="N71" s="37">
        <v>92.012121212121201</v>
      </c>
      <c r="O71" s="37">
        <v>30.2484848484848</v>
      </c>
      <c r="P71" s="37">
        <v>92.8363636363636</v>
      </c>
      <c r="Q71" s="37">
        <v>85.296969696969697</v>
      </c>
      <c r="R71" s="37">
        <v>89.175757575757601</v>
      </c>
      <c r="S71" s="44" t="s">
        <v>214</v>
      </c>
      <c r="T71" s="37">
        <v>82.654545454545399</v>
      </c>
      <c r="U71" s="45">
        <v>90.65</v>
      </c>
      <c r="V71" s="49"/>
    </row>
    <row r="72" spans="1:22" x14ac:dyDescent="0.25">
      <c r="A72" s="37">
        <v>56.28</v>
      </c>
      <c r="B72" s="54" t="s">
        <v>241</v>
      </c>
      <c r="C72" s="39" t="s">
        <v>175</v>
      </c>
      <c r="D72" s="49"/>
      <c r="E72" s="41">
        <v>604863</v>
      </c>
      <c r="F72" s="42" t="s">
        <v>26</v>
      </c>
      <c r="G72" s="46" t="s">
        <v>242</v>
      </c>
      <c r="H72" s="47">
        <v>49</v>
      </c>
      <c r="I72" s="44" t="s">
        <v>243</v>
      </c>
      <c r="J72" s="37">
        <v>86.490909090909099</v>
      </c>
      <c r="K72" s="37">
        <v>25.890909090909101</v>
      </c>
      <c r="L72" s="37">
        <v>94.272727272727295</v>
      </c>
      <c r="M72" s="37">
        <v>29.9636363636364</v>
      </c>
      <c r="N72" s="37">
        <v>92.054545454545504</v>
      </c>
      <c r="O72" s="37">
        <v>30.4181818181818</v>
      </c>
      <c r="P72" s="37">
        <v>92.963636363636397</v>
      </c>
      <c r="Q72" s="37">
        <v>85.236363636363606</v>
      </c>
      <c r="R72" s="37">
        <v>89.090909090909093</v>
      </c>
      <c r="S72" s="44" t="s">
        <v>243</v>
      </c>
      <c r="T72" s="37">
        <v>82.545454545454504</v>
      </c>
      <c r="U72" s="45">
        <f t="shared" ref="U72:U77" si="6">(J72+L72+N72+P72+R72+T72)/6</f>
        <v>89.569696969696977</v>
      </c>
      <c r="V72" s="49"/>
    </row>
    <row r="73" spans="1:22" x14ac:dyDescent="0.25">
      <c r="A73" s="37">
        <v>57.2</v>
      </c>
      <c r="B73" s="54" t="s">
        <v>244</v>
      </c>
      <c r="C73" s="39" t="s">
        <v>175</v>
      </c>
      <c r="D73" s="49"/>
      <c r="E73" s="41">
        <v>604697</v>
      </c>
      <c r="F73" s="42" t="s">
        <v>26</v>
      </c>
      <c r="G73" s="46" t="s">
        <v>245</v>
      </c>
      <c r="H73" s="47">
        <v>42</v>
      </c>
      <c r="I73" s="44" t="s">
        <v>246</v>
      </c>
      <c r="J73" s="37">
        <v>86.606060606060595</v>
      </c>
      <c r="K73" s="37">
        <v>26.006060606060601</v>
      </c>
      <c r="L73" s="37">
        <v>94.351515151515201</v>
      </c>
      <c r="M73" s="37">
        <v>30.090909090909101</v>
      </c>
      <c r="N73" s="37">
        <v>92.096969696969694</v>
      </c>
      <c r="O73" s="37">
        <v>30.587878787878701</v>
      </c>
      <c r="P73" s="37">
        <v>93.090909090909093</v>
      </c>
      <c r="Q73" s="37">
        <v>85.175757575757601</v>
      </c>
      <c r="R73" s="37">
        <v>89.006060606060601</v>
      </c>
      <c r="S73" s="44" t="s">
        <v>247</v>
      </c>
      <c r="T73" s="37">
        <v>82.436363636363595</v>
      </c>
      <c r="U73" s="45">
        <f t="shared" si="6"/>
        <v>89.597979797979804</v>
      </c>
      <c r="V73" s="49"/>
    </row>
    <row r="74" spans="1:22" x14ac:dyDescent="0.25">
      <c r="A74" s="37">
        <v>58.12</v>
      </c>
      <c r="B74" s="54" t="s">
        <v>248</v>
      </c>
      <c r="C74" s="39" t="s">
        <v>175</v>
      </c>
      <c r="D74" s="49"/>
      <c r="E74" s="41">
        <v>557967</v>
      </c>
      <c r="F74" s="42" t="s">
        <v>26</v>
      </c>
      <c r="G74" s="46" t="s">
        <v>249</v>
      </c>
      <c r="H74" s="47">
        <v>50</v>
      </c>
      <c r="I74" s="44" t="s">
        <v>250</v>
      </c>
      <c r="J74" s="37">
        <v>86.721212121212105</v>
      </c>
      <c r="K74" s="37">
        <v>26.1212121212121</v>
      </c>
      <c r="L74" s="37">
        <v>94.430303030302994</v>
      </c>
      <c r="M74" s="37">
        <v>30.218181818181801</v>
      </c>
      <c r="N74" s="37">
        <v>92.139393939393898</v>
      </c>
      <c r="O74" s="37">
        <v>30.757575757575701</v>
      </c>
      <c r="P74" s="37">
        <v>93.218181818181804</v>
      </c>
      <c r="Q74" s="37">
        <v>85.115151515151496</v>
      </c>
      <c r="R74" s="37">
        <v>88.921212121212093</v>
      </c>
      <c r="S74" s="44" t="s">
        <v>250</v>
      </c>
      <c r="T74" s="53">
        <v>82.3272727272727</v>
      </c>
      <c r="U74" s="45">
        <f t="shared" si="6"/>
        <v>89.626262626262587</v>
      </c>
      <c r="V74" s="49"/>
    </row>
    <row r="75" spans="1:22" x14ac:dyDescent="0.25">
      <c r="A75" s="37">
        <v>59.04</v>
      </c>
      <c r="B75" s="54" t="s">
        <v>251</v>
      </c>
      <c r="C75" s="39" t="s">
        <v>175</v>
      </c>
      <c r="D75" s="49"/>
      <c r="E75" s="41">
        <v>579228</v>
      </c>
      <c r="F75" s="42" t="s">
        <v>26</v>
      </c>
      <c r="G75" s="46" t="s">
        <v>252</v>
      </c>
      <c r="H75" s="47">
        <v>47</v>
      </c>
      <c r="I75" s="44" t="s">
        <v>253</v>
      </c>
      <c r="J75" s="37">
        <v>86.8363636363636</v>
      </c>
      <c r="K75" s="37">
        <v>26.236363636363599</v>
      </c>
      <c r="L75" s="37">
        <v>94.509090909090901</v>
      </c>
      <c r="M75" s="53">
        <v>30.345454545454601</v>
      </c>
      <c r="N75" s="37">
        <v>92.181818181818201</v>
      </c>
      <c r="O75" s="37">
        <v>30.927272727272701</v>
      </c>
      <c r="P75" s="37">
        <v>93.345454545454501</v>
      </c>
      <c r="Q75" s="37">
        <v>85.054545454545405</v>
      </c>
      <c r="R75" s="37">
        <v>88.8363636363636</v>
      </c>
      <c r="S75" s="44" t="s">
        <v>254</v>
      </c>
      <c r="T75" s="37">
        <v>82.218181818181804</v>
      </c>
      <c r="U75" s="45">
        <f t="shared" si="6"/>
        <v>89.654545454545442</v>
      </c>
      <c r="V75" s="49"/>
    </row>
    <row r="76" spans="1:22" x14ac:dyDescent="0.25">
      <c r="A76" s="37">
        <v>59.96</v>
      </c>
      <c r="B76" s="54" t="s">
        <v>255</v>
      </c>
      <c r="C76" s="39" t="s">
        <v>175</v>
      </c>
      <c r="D76" s="49"/>
      <c r="E76" s="41" t="s">
        <v>256</v>
      </c>
      <c r="F76" s="42" t="s">
        <v>26</v>
      </c>
      <c r="G76" s="46" t="s">
        <v>229</v>
      </c>
      <c r="H76" s="47">
        <v>51</v>
      </c>
      <c r="I76" s="44" t="s">
        <v>247</v>
      </c>
      <c r="J76" s="37">
        <v>86.951515151515096</v>
      </c>
      <c r="K76" s="37">
        <v>26.351515151515201</v>
      </c>
      <c r="L76" s="37">
        <v>94.587878787878793</v>
      </c>
      <c r="M76" s="37">
        <v>30.472727272727301</v>
      </c>
      <c r="N76" s="37">
        <v>92.224242424242405</v>
      </c>
      <c r="O76" s="37">
        <v>31.096969696969701</v>
      </c>
      <c r="P76" s="37">
        <v>93.472727272727298</v>
      </c>
      <c r="Q76" s="37">
        <v>84.993939393939399</v>
      </c>
      <c r="R76" s="37">
        <v>88.751515151515207</v>
      </c>
      <c r="S76" s="44" t="s">
        <v>253</v>
      </c>
      <c r="T76" s="37">
        <v>82.109090909090895</v>
      </c>
      <c r="U76" s="45">
        <f t="shared" si="6"/>
        <v>89.682828282828282</v>
      </c>
      <c r="V76" s="49"/>
    </row>
    <row r="77" spans="1:22" x14ac:dyDescent="0.25">
      <c r="A77" s="37">
        <v>60.88</v>
      </c>
      <c r="B77" s="54" t="s">
        <v>257</v>
      </c>
      <c r="C77" s="39" t="s">
        <v>175</v>
      </c>
      <c r="D77" s="49"/>
      <c r="E77" s="41" t="s">
        <v>258</v>
      </c>
      <c r="F77" s="42" t="s">
        <v>26</v>
      </c>
      <c r="G77" s="46" t="s">
        <v>259</v>
      </c>
      <c r="H77" s="47">
        <v>50</v>
      </c>
      <c r="I77" s="44" t="s">
        <v>254</v>
      </c>
      <c r="J77" s="53">
        <v>87.066666666666606</v>
      </c>
      <c r="K77" s="53">
        <v>26.466666666666701</v>
      </c>
      <c r="L77" s="53">
        <v>94.6666666666667</v>
      </c>
      <c r="M77" s="37">
        <v>30.6</v>
      </c>
      <c r="N77" s="53">
        <v>92.266666666666694</v>
      </c>
      <c r="O77" s="53">
        <v>31.266666666666602</v>
      </c>
      <c r="P77" s="53">
        <v>93.6</v>
      </c>
      <c r="Q77" s="53">
        <v>84.933333333333294</v>
      </c>
      <c r="R77" s="53">
        <v>88.6666666666667</v>
      </c>
      <c r="S77" s="44" t="s">
        <v>246</v>
      </c>
      <c r="T77" s="37">
        <v>82</v>
      </c>
      <c r="U77" s="45">
        <f t="shared" si="6"/>
        <v>89.711111111111109</v>
      </c>
      <c r="V77" s="49"/>
    </row>
    <row r="78" spans="1:22" x14ac:dyDescent="0.25">
      <c r="A78" s="37">
        <v>61.8</v>
      </c>
      <c r="B78" s="54" t="s">
        <v>260</v>
      </c>
      <c r="C78" s="39" t="s">
        <v>175</v>
      </c>
      <c r="D78" s="49"/>
      <c r="E78" s="41">
        <v>579249</v>
      </c>
      <c r="F78" s="42" t="s">
        <v>26</v>
      </c>
      <c r="G78" s="46" t="s">
        <v>261</v>
      </c>
      <c r="H78" s="47">
        <v>50</v>
      </c>
      <c r="I78" s="44" t="s">
        <v>243</v>
      </c>
      <c r="J78" s="37">
        <v>87.181818181818201</v>
      </c>
      <c r="K78" s="37">
        <v>26.5818181818182</v>
      </c>
      <c r="L78" s="37">
        <v>94.745454545454507</v>
      </c>
      <c r="M78" s="37">
        <v>30.727272727272702</v>
      </c>
      <c r="N78" s="37">
        <v>92.309090909090898</v>
      </c>
      <c r="O78" s="37">
        <v>31.436363636363598</v>
      </c>
      <c r="P78" s="37">
        <v>93.727272727272705</v>
      </c>
      <c r="Q78" s="37">
        <v>84.872727272727303</v>
      </c>
      <c r="R78" s="37">
        <v>88.581818181818207</v>
      </c>
      <c r="S78" s="44" t="s">
        <v>243</v>
      </c>
      <c r="T78" s="37">
        <v>81.890909090909105</v>
      </c>
      <c r="U78" s="45">
        <v>90.75</v>
      </c>
      <c r="V78" s="49"/>
    </row>
    <row r="79" spans="1:22" x14ac:dyDescent="0.25">
      <c r="A79" s="37">
        <v>62.72</v>
      </c>
      <c r="B79" s="54" t="s">
        <v>262</v>
      </c>
      <c r="C79" s="39" t="s">
        <v>175</v>
      </c>
      <c r="D79" s="49"/>
      <c r="E79" s="41" t="s">
        <v>263</v>
      </c>
      <c r="F79" s="42" t="s">
        <v>44</v>
      </c>
      <c r="G79" s="46" t="s">
        <v>264</v>
      </c>
      <c r="H79" s="47">
        <v>50</v>
      </c>
      <c r="I79" s="44" t="s">
        <v>250</v>
      </c>
      <c r="J79" s="37">
        <v>87.296969696969697</v>
      </c>
      <c r="K79" s="37">
        <v>26.696969696969699</v>
      </c>
      <c r="L79" s="37">
        <v>94.824242424242399</v>
      </c>
      <c r="M79" s="37">
        <v>30.854545454545502</v>
      </c>
      <c r="N79" s="37">
        <v>92.351515151515201</v>
      </c>
      <c r="O79" s="37">
        <v>31.606060606060598</v>
      </c>
      <c r="P79" s="37">
        <v>93.854545454545402</v>
      </c>
      <c r="Q79" s="37">
        <v>84.812121212121198</v>
      </c>
      <c r="R79" s="37">
        <v>88.4969696969697</v>
      </c>
      <c r="S79" s="44" t="s">
        <v>250</v>
      </c>
      <c r="T79" s="53">
        <v>81.781818181818196</v>
      </c>
      <c r="U79" s="45">
        <v>90.85</v>
      </c>
      <c r="V79" s="49"/>
    </row>
    <row r="80" spans="1:22" x14ac:dyDescent="0.25">
      <c r="A80" s="37">
        <v>63.64</v>
      </c>
      <c r="B80" s="54" t="s">
        <v>265</v>
      </c>
      <c r="C80" s="39" t="s">
        <v>175</v>
      </c>
      <c r="D80" s="49"/>
      <c r="E80" s="41" t="s">
        <v>266</v>
      </c>
      <c r="F80" s="42" t="s">
        <v>44</v>
      </c>
      <c r="G80" s="46" t="s">
        <v>267</v>
      </c>
      <c r="H80" s="47">
        <v>50</v>
      </c>
      <c r="I80" s="44" t="s">
        <v>247</v>
      </c>
      <c r="J80" s="37">
        <v>87.412121212121207</v>
      </c>
      <c r="K80" s="37">
        <v>26.812121212121198</v>
      </c>
      <c r="L80" s="37">
        <v>94.903030303030306</v>
      </c>
      <c r="M80" s="37">
        <v>30.981818181818198</v>
      </c>
      <c r="N80" s="37">
        <v>92.393939393939405</v>
      </c>
      <c r="O80" s="37">
        <v>31.775757575757499</v>
      </c>
      <c r="P80" s="37">
        <v>93.981818181818198</v>
      </c>
      <c r="Q80" s="37">
        <v>84.751515151515093</v>
      </c>
      <c r="R80" s="37">
        <v>88.412121212121207</v>
      </c>
      <c r="S80" s="44" t="s">
        <v>253</v>
      </c>
      <c r="T80" s="37">
        <v>81.672727272727201</v>
      </c>
      <c r="U80" s="45">
        <v>90.95</v>
      </c>
      <c r="V80" s="49"/>
    </row>
    <row r="81" spans="1:22" x14ac:dyDescent="0.25">
      <c r="A81" s="37">
        <v>64.56</v>
      </c>
      <c r="B81" s="54" t="s">
        <v>268</v>
      </c>
      <c r="C81" s="55" t="s">
        <v>175</v>
      </c>
      <c r="D81" s="49"/>
      <c r="E81" s="41" t="s">
        <v>269</v>
      </c>
      <c r="F81" s="42" t="s">
        <v>26</v>
      </c>
      <c r="G81" s="46" t="s">
        <v>270</v>
      </c>
      <c r="H81" s="47">
        <v>49</v>
      </c>
      <c r="I81" s="44" t="s">
        <v>243</v>
      </c>
      <c r="J81" s="37">
        <v>87.527272727272702</v>
      </c>
      <c r="K81" s="37">
        <v>26.927272727272701</v>
      </c>
      <c r="L81" s="37">
        <v>94.981818181818198</v>
      </c>
      <c r="M81" s="37">
        <v>31.109090909090899</v>
      </c>
      <c r="N81" s="37">
        <v>92.436363636363694</v>
      </c>
      <c r="O81" s="37">
        <v>31.945454545454499</v>
      </c>
      <c r="P81" s="37">
        <v>94.109090909090895</v>
      </c>
      <c r="Q81" s="37">
        <v>84.690909090909102</v>
      </c>
      <c r="R81" s="37">
        <v>88.3272727272727</v>
      </c>
      <c r="S81" s="44" t="s">
        <v>243</v>
      </c>
      <c r="T81" s="37">
        <v>81.563636363636306</v>
      </c>
      <c r="U81" s="45">
        <v>91.05</v>
      </c>
      <c r="V81" s="49"/>
    </row>
    <row r="82" spans="1:22" x14ac:dyDescent="0.25">
      <c r="A82" s="37">
        <v>65.48</v>
      </c>
      <c r="B82" s="54" t="s">
        <v>271</v>
      </c>
      <c r="C82" s="55" t="s">
        <v>175</v>
      </c>
      <c r="D82" s="49"/>
      <c r="E82" s="41">
        <v>613356</v>
      </c>
      <c r="F82" s="42" t="s">
        <v>44</v>
      </c>
      <c r="G82" s="46" t="s">
        <v>272</v>
      </c>
      <c r="H82" s="47">
        <v>48</v>
      </c>
      <c r="I82" s="44" t="s">
        <v>273</v>
      </c>
      <c r="J82" s="37">
        <v>87.642424242424198</v>
      </c>
      <c r="K82" s="37">
        <v>27.0424242424242</v>
      </c>
      <c r="L82" s="37">
        <v>95.060606060606105</v>
      </c>
      <c r="M82" s="37">
        <v>31.236363636363599</v>
      </c>
      <c r="N82" s="37">
        <v>92.478787878787898</v>
      </c>
      <c r="O82" s="37">
        <v>32.115151515151503</v>
      </c>
      <c r="P82" s="37">
        <v>94.236363636363606</v>
      </c>
      <c r="Q82" s="37">
        <v>84.630303030302997</v>
      </c>
      <c r="R82" s="37">
        <v>88.242424242424306</v>
      </c>
      <c r="S82" s="44" t="s">
        <v>273</v>
      </c>
      <c r="T82" s="37">
        <v>81.454545454545396</v>
      </c>
      <c r="U82" s="45">
        <f t="shared" ref="U82:U87" si="7">(J82+L82+N82+P82+R82+T82)/6</f>
        <v>89.852525252525254</v>
      </c>
      <c r="V82" s="49"/>
    </row>
    <row r="83" spans="1:22" x14ac:dyDescent="0.25">
      <c r="A83" s="37">
        <v>66.400000000000006</v>
      </c>
      <c r="B83" s="54" t="s">
        <v>274</v>
      </c>
      <c r="C83" s="55" t="s">
        <v>275</v>
      </c>
      <c r="D83" s="49"/>
      <c r="E83" s="41">
        <v>604868</v>
      </c>
      <c r="F83" s="42" t="s">
        <v>26</v>
      </c>
      <c r="G83" s="46" t="s">
        <v>276</v>
      </c>
      <c r="H83" s="47">
        <v>42</v>
      </c>
      <c r="I83" s="44" t="s">
        <v>277</v>
      </c>
      <c r="J83" s="37">
        <v>87.757575757575793</v>
      </c>
      <c r="K83" s="37">
        <v>27.157575757575799</v>
      </c>
      <c r="L83" s="37">
        <v>95.139393939393898</v>
      </c>
      <c r="M83" s="37">
        <v>31.363636363636399</v>
      </c>
      <c r="N83" s="37">
        <v>92.521212121212102</v>
      </c>
      <c r="O83" s="37">
        <v>32.284848484848403</v>
      </c>
      <c r="P83" s="37">
        <v>94.363636363636402</v>
      </c>
      <c r="Q83" s="37">
        <v>84.569696969696906</v>
      </c>
      <c r="R83" s="37">
        <v>88.157575757575799</v>
      </c>
      <c r="S83" s="44" t="s">
        <v>278</v>
      </c>
      <c r="T83" s="37">
        <v>81.345454545454501</v>
      </c>
      <c r="U83" s="45">
        <f t="shared" si="7"/>
        <v>89.88080808080808</v>
      </c>
      <c r="V83" s="49"/>
    </row>
    <row r="84" spans="1:22" x14ac:dyDescent="0.25">
      <c r="A84" s="37">
        <v>67.319999999999993</v>
      </c>
      <c r="B84" s="54" t="s">
        <v>279</v>
      </c>
      <c r="C84" s="55" t="s">
        <v>275</v>
      </c>
      <c r="D84" s="49"/>
      <c r="E84" s="41">
        <v>599482</v>
      </c>
      <c r="F84" s="42" t="s">
        <v>26</v>
      </c>
      <c r="G84" s="46" t="s">
        <v>280</v>
      </c>
      <c r="H84" s="47">
        <v>49</v>
      </c>
      <c r="I84" s="44" t="s">
        <v>281</v>
      </c>
      <c r="J84" s="37">
        <v>87.872727272727303</v>
      </c>
      <c r="K84" s="37">
        <v>27.272727272727298</v>
      </c>
      <c r="L84" s="37">
        <v>95.218181818181804</v>
      </c>
      <c r="M84" s="37">
        <v>31.490909090909099</v>
      </c>
      <c r="N84" s="37">
        <v>92.563636363636405</v>
      </c>
      <c r="O84" s="37">
        <v>32.454545454545404</v>
      </c>
      <c r="P84" s="37">
        <v>94.490909090909099</v>
      </c>
      <c r="Q84" s="37">
        <v>84.509090909090901</v>
      </c>
      <c r="R84" s="37">
        <v>88.072727272727306</v>
      </c>
      <c r="S84" s="44" t="s">
        <v>281</v>
      </c>
      <c r="T84" s="53">
        <v>81.236363636363606</v>
      </c>
      <c r="U84" s="45">
        <f t="shared" si="7"/>
        <v>89.909090909090935</v>
      </c>
      <c r="V84" s="49"/>
    </row>
    <row r="85" spans="1:22" x14ac:dyDescent="0.25">
      <c r="A85" s="37">
        <v>68.239999999999995</v>
      </c>
      <c r="B85" s="54" t="s">
        <v>282</v>
      </c>
      <c r="C85" s="55" t="s">
        <v>275</v>
      </c>
      <c r="D85" s="49"/>
      <c r="E85" s="41">
        <v>612404</v>
      </c>
      <c r="F85" s="42" t="s">
        <v>26</v>
      </c>
      <c r="G85" s="46" t="s">
        <v>283</v>
      </c>
      <c r="H85" s="47">
        <v>49</v>
      </c>
      <c r="I85" s="44" t="s">
        <v>284</v>
      </c>
      <c r="J85" s="37">
        <v>87.987878787878799</v>
      </c>
      <c r="K85" s="37">
        <v>27.387878787878801</v>
      </c>
      <c r="L85" s="37">
        <v>95.296969696969697</v>
      </c>
      <c r="M85" s="53">
        <v>31.6181818181818</v>
      </c>
      <c r="N85" s="37">
        <v>92.606060606060595</v>
      </c>
      <c r="O85" s="37">
        <v>32.624242424242397</v>
      </c>
      <c r="P85" s="37">
        <v>94.618181818181796</v>
      </c>
      <c r="Q85" s="37">
        <v>84.448484848484796</v>
      </c>
      <c r="R85" s="37">
        <v>87.987878787878799</v>
      </c>
      <c r="S85" s="44" t="s">
        <v>285</v>
      </c>
      <c r="T85" s="37">
        <v>81.127272727272697</v>
      </c>
      <c r="U85" s="45">
        <f t="shared" si="7"/>
        <v>89.937373737373733</v>
      </c>
      <c r="V85" s="49"/>
    </row>
    <row r="86" spans="1:22" x14ac:dyDescent="0.25">
      <c r="A86" s="37">
        <v>69.16</v>
      </c>
      <c r="B86" s="54" t="s">
        <v>286</v>
      </c>
      <c r="C86" s="55" t="s">
        <v>275</v>
      </c>
      <c r="D86" s="49"/>
      <c r="E86" s="41">
        <v>588860</v>
      </c>
      <c r="F86" s="42" t="s">
        <v>26</v>
      </c>
      <c r="G86" s="46" t="s">
        <v>287</v>
      </c>
      <c r="H86" s="47">
        <v>49</v>
      </c>
      <c r="I86" s="44" t="s">
        <v>278</v>
      </c>
      <c r="J86" s="37">
        <v>88.103030303030295</v>
      </c>
      <c r="K86" s="37">
        <v>27.5030303030303</v>
      </c>
      <c r="L86" s="37">
        <v>95.375757575757603</v>
      </c>
      <c r="M86" s="37">
        <v>31.745454545454599</v>
      </c>
      <c r="N86" s="37">
        <v>92.648484848484898</v>
      </c>
      <c r="O86" s="37">
        <v>32.793939393939397</v>
      </c>
      <c r="P86" s="37">
        <v>94.745454545454507</v>
      </c>
      <c r="Q86" s="37">
        <v>84.387878787878805</v>
      </c>
      <c r="R86" s="37">
        <v>87.903030303030306</v>
      </c>
      <c r="S86" s="44" t="s">
        <v>284</v>
      </c>
      <c r="T86" s="37">
        <v>81.018181818181802</v>
      </c>
      <c r="U86" s="45">
        <f t="shared" si="7"/>
        <v>89.965656565656559</v>
      </c>
      <c r="V86" s="49"/>
    </row>
    <row r="87" spans="1:22" x14ac:dyDescent="0.25">
      <c r="A87" s="37">
        <v>70.08</v>
      </c>
      <c r="B87" s="54" t="s">
        <v>288</v>
      </c>
      <c r="C87" s="55" t="s">
        <v>275</v>
      </c>
      <c r="D87" s="49"/>
      <c r="E87" s="41" t="s">
        <v>289</v>
      </c>
      <c r="F87" s="42" t="s">
        <v>44</v>
      </c>
      <c r="G87" s="46" t="s">
        <v>290</v>
      </c>
      <c r="H87" s="47">
        <v>40</v>
      </c>
      <c r="I87" s="44" t="s">
        <v>285</v>
      </c>
      <c r="J87" s="53">
        <v>88.218181818181804</v>
      </c>
      <c r="K87" s="53">
        <v>27.6181818181818</v>
      </c>
      <c r="L87" s="53">
        <v>95.454545454545496</v>
      </c>
      <c r="M87" s="37">
        <v>31.8727272727273</v>
      </c>
      <c r="N87" s="53">
        <v>92.690909090909102</v>
      </c>
      <c r="O87" s="53">
        <v>32.963636363636297</v>
      </c>
      <c r="P87" s="53">
        <v>94.872727272727303</v>
      </c>
      <c r="Q87" s="53">
        <v>84.3272727272727</v>
      </c>
      <c r="R87" s="53">
        <v>87.818181818181799</v>
      </c>
      <c r="S87" s="44" t="s">
        <v>277</v>
      </c>
      <c r="T87" s="37">
        <v>80.909090909090907</v>
      </c>
      <c r="U87" s="45">
        <f t="shared" si="7"/>
        <v>89.993939393939399</v>
      </c>
      <c r="V87" s="49"/>
    </row>
    <row r="88" spans="1:22" x14ac:dyDescent="0.25">
      <c r="A88" s="37">
        <v>71</v>
      </c>
      <c r="B88" s="54" t="s">
        <v>291</v>
      </c>
      <c r="C88" s="55" t="s">
        <v>275</v>
      </c>
      <c r="D88" s="49"/>
      <c r="E88" s="41">
        <v>612217</v>
      </c>
      <c r="F88" s="42" t="s">
        <v>26</v>
      </c>
      <c r="G88" s="46" t="s">
        <v>292</v>
      </c>
      <c r="H88" s="47">
        <v>50</v>
      </c>
      <c r="I88" s="44" t="s">
        <v>273</v>
      </c>
      <c r="J88" s="37">
        <v>88.3333333333333</v>
      </c>
      <c r="K88" s="37">
        <v>27.733333333333299</v>
      </c>
      <c r="L88" s="37">
        <v>95.533333333333303</v>
      </c>
      <c r="M88" s="37">
        <v>32</v>
      </c>
      <c r="N88" s="37">
        <v>92.733333333333306</v>
      </c>
      <c r="O88" s="37">
        <v>33.133333333333297</v>
      </c>
      <c r="P88" s="37">
        <v>95</v>
      </c>
      <c r="Q88" s="37">
        <v>84.266666666666694</v>
      </c>
      <c r="R88" s="37">
        <v>87.733333333333306</v>
      </c>
      <c r="S88" s="44" t="s">
        <v>273</v>
      </c>
      <c r="T88" s="37">
        <v>80.8</v>
      </c>
      <c r="U88" s="45">
        <v>91.15</v>
      </c>
      <c r="V88" s="49"/>
    </row>
    <row r="89" spans="1:22" x14ac:dyDescent="0.25">
      <c r="A89" s="37">
        <v>71.92</v>
      </c>
      <c r="B89" s="54" t="s">
        <v>293</v>
      </c>
      <c r="C89" s="55" t="s">
        <v>275</v>
      </c>
      <c r="D89" s="49"/>
      <c r="E89" s="41" t="s">
        <v>294</v>
      </c>
      <c r="F89" s="42" t="s">
        <v>26</v>
      </c>
      <c r="G89" s="46" t="s">
        <v>295</v>
      </c>
      <c r="H89" s="47">
        <v>40</v>
      </c>
      <c r="I89" s="44" t="s">
        <v>281</v>
      </c>
      <c r="J89" s="37">
        <v>88.448484848484796</v>
      </c>
      <c r="K89" s="37">
        <v>27.848484848484901</v>
      </c>
      <c r="L89" s="37">
        <v>95.612121212121195</v>
      </c>
      <c r="M89" s="37">
        <v>32.127272727272697</v>
      </c>
      <c r="N89" s="37">
        <v>92.775757575757595</v>
      </c>
      <c r="O89" s="37">
        <v>33.303030303030297</v>
      </c>
      <c r="P89" s="37">
        <v>95.127272727272697</v>
      </c>
      <c r="Q89" s="37">
        <v>84.206060606060603</v>
      </c>
      <c r="R89" s="37">
        <v>87.648484848484898</v>
      </c>
      <c r="S89" s="44" t="s">
        <v>281</v>
      </c>
      <c r="T89" s="53">
        <v>80.690909090909102</v>
      </c>
      <c r="U89" s="45">
        <v>91.25</v>
      </c>
      <c r="V89" s="49"/>
    </row>
    <row r="90" spans="1:22" x14ac:dyDescent="0.25">
      <c r="A90" s="37">
        <v>72.84</v>
      </c>
      <c r="B90" s="54" t="s">
        <v>296</v>
      </c>
      <c r="C90" s="55" t="s">
        <v>275</v>
      </c>
      <c r="D90" s="49"/>
      <c r="E90" s="41">
        <v>604956</v>
      </c>
      <c r="F90" s="42" t="s">
        <v>26</v>
      </c>
      <c r="G90" s="46" t="s">
        <v>297</v>
      </c>
      <c r="H90" s="47">
        <v>50</v>
      </c>
      <c r="I90" s="44" t="s">
        <v>278</v>
      </c>
      <c r="J90" s="37">
        <v>88.563636363636306</v>
      </c>
      <c r="K90" s="37">
        <v>27.9636363636364</v>
      </c>
      <c r="L90" s="37">
        <v>95.690909090909102</v>
      </c>
      <c r="M90" s="37">
        <v>32.2545454545455</v>
      </c>
      <c r="N90" s="37">
        <v>92.818181818181799</v>
      </c>
      <c r="O90" s="37">
        <v>33.472727272727198</v>
      </c>
      <c r="P90" s="37">
        <v>95.254545454545493</v>
      </c>
      <c r="Q90" s="37">
        <v>84.145454545454498</v>
      </c>
      <c r="R90" s="37">
        <v>87.563636363636405</v>
      </c>
      <c r="S90" s="44" t="s">
        <v>284</v>
      </c>
      <c r="T90" s="37">
        <v>80.581818181818207</v>
      </c>
      <c r="U90" s="45">
        <v>91.35</v>
      </c>
      <c r="V90" s="49"/>
    </row>
    <row r="91" spans="1:22" x14ac:dyDescent="0.25">
      <c r="A91" s="37">
        <v>73.760000000000005</v>
      </c>
      <c r="B91" s="54" t="s">
        <v>298</v>
      </c>
      <c r="C91" s="55" t="s">
        <v>275</v>
      </c>
      <c r="D91" s="49"/>
      <c r="E91" s="41" t="s">
        <v>299</v>
      </c>
      <c r="F91" s="42" t="s">
        <v>26</v>
      </c>
      <c r="G91" s="46" t="s">
        <v>300</v>
      </c>
      <c r="H91" s="47">
        <v>47</v>
      </c>
      <c r="I91" s="44" t="s">
        <v>273</v>
      </c>
      <c r="J91" s="37">
        <v>88.678787878787901</v>
      </c>
      <c r="K91" s="37">
        <v>28.0787878787879</v>
      </c>
      <c r="L91" s="37">
        <v>95.769696969696994</v>
      </c>
      <c r="M91" s="37">
        <v>32.381818181818197</v>
      </c>
      <c r="N91" s="37">
        <v>92.860606060606102</v>
      </c>
      <c r="O91" s="37">
        <v>33.642424242424198</v>
      </c>
      <c r="P91" s="37">
        <v>95.381818181818204</v>
      </c>
      <c r="Q91" s="37">
        <v>84.084848484848493</v>
      </c>
      <c r="R91" s="37">
        <v>87.478787878787898</v>
      </c>
      <c r="S91" s="44" t="s">
        <v>273</v>
      </c>
      <c r="T91" s="37">
        <v>80.472727272727298</v>
      </c>
      <c r="U91" s="45">
        <v>91.45</v>
      </c>
      <c r="V91" s="49"/>
    </row>
    <row r="92" spans="1:22" x14ac:dyDescent="0.25">
      <c r="A92" s="37">
        <v>74.680000000000007</v>
      </c>
      <c r="B92" s="54" t="s">
        <v>301</v>
      </c>
      <c r="C92" s="55" t="s">
        <v>275</v>
      </c>
      <c r="D92" s="49"/>
      <c r="E92" s="41">
        <v>604823</v>
      </c>
      <c r="F92" s="42" t="s">
        <v>26</v>
      </c>
      <c r="G92" s="46" t="s">
        <v>302</v>
      </c>
      <c r="H92" s="47">
        <v>47</v>
      </c>
      <c r="I92" s="44" t="s">
        <v>303</v>
      </c>
      <c r="J92" s="37">
        <v>88.793939393939397</v>
      </c>
      <c r="K92" s="37">
        <v>28.193939393939399</v>
      </c>
      <c r="L92" s="37">
        <v>95.848484848484901</v>
      </c>
      <c r="M92" s="37">
        <v>32.509090909090901</v>
      </c>
      <c r="N92" s="37">
        <v>92.903030303030306</v>
      </c>
      <c r="O92" s="37">
        <v>33.812121212121198</v>
      </c>
      <c r="P92" s="37">
        <v>95.509090909090901</v>
      </c>
      <c r="Q92" s="37">
        <v>84.024242424242402</v>
      </c>
      <c r="R92" s="37">
        <v>87.393939393939405</v>
      </c>
      <c r="S92" s="44" t="s">
        <v>303</v>
      </c>
      <c r="T92" s="37">
        <v>80.363636363636303</v>
      </c>
      <c r="U92" s="45">
        <f t="shared" ref="U92:U97" si="8">(J92+L92+N92+P92+R92+T92)/6</f>
        <v>90.135353535353531</v>
      </c>
      <c r="V92" s="49"/>
    </row>
    <row r="93" spans="1:22" x14ac:dyDescent="0.25">
      <c r="A93" s="37">
        <v>75.599999999999994</v>
      </c>
      <c r="B93" s="54" t="s">
        <v>304</v>
      </c>
      <c r="C93" s="55" t="s">
        <v>275</v>
      </c>
      <c r="D93" s="49"/>
      <c r="E93" s="41">
        <v>604958</v>
      </c>
      <c r="F93" s="42" t="s">
        <v>26</v>
      </c>
      <c r="G93" s="46" t="s">
        <v>305</v>
      </c>
      <c r="H93" s="47">
        <v>46</v>
      </c>
      <c r="I93" s="44" t="s">
        <v>306</v>
      </c>
      <c r="J93" s="37">
        <v>88.909090909090907</v>
      </c>
      <c r="K93" s="37">
        <v>28.309090909090902</v>
      </c>
      <c r="L93" s="37">
        <v>95.927272727272694</v>
      </c>
      <c r="M93" s="37">
        <v>32.636363636363598</v>
      </c>
      <c r="N93" s="37">
        <v>92.945454545454595</v>
      </c>
      <c r="O93" s="37">
        <v>33.981818181818099</v>
      </c>
      <c r="P93" s="37">
        <v>95.636363636363598</v>
      </c>
      <c r="Q93" s="37">
        <v>83.963636363636397</v>
      </c>
      <c r="R93" s="37">
        <v>87.309090909090898</v>
      </c>
      <c r="S93" s="44" t="s">
        <v>307</v>
      </c>
      <c r="T93" s="37">
        <v>80.254545454545394</v>
      </c>
      <c r="U93" s="45">
        <f t="shared" si="8"/>
        <v>90.163636363636343</v>
      </c>
      <c r="V93" s="49"/>
    </row>
    <row r="94" spans="1:22" x14ac:dyDescent="0.25">
      <c r="A94" s="37">
        <v>76.52</v>
      </c>
      <c r="B94" s="54" t="s">
        <v>308</v>
      </c>
      <c r="C94" s="55" t="s">
        <v>275</v>
      </c>
      <c r="D94" s="49"/>
      <c r="E94" s="41">
        <v>624201</v>
      </c>
      <c r="F94" s="42" t="s">
        <v>26</v>
      </c>
      <c r="G94" s="46" t="s">
        <v>309</v>
      </c>
      <c r="H94" s="47">
        <v>42</v>
      </c>
      <c r="I94" s="44" t="s">
        <v>310</v>
      </c>
      <c r="J94" s="37">
        <v>89.024242424242402</v>
      </c>
      <c r="K94" s="37">
        <v>28.424242424242401</v>
      </c>
      <c r="L94" s="37">
        <v>96.006060606060601</v>
      </c>
      <c r="M94" s="37">
        <v>32.763636363636301</v>
      </c>
      <c r="N94" s="37">
        <v>92.987878787878799</v>
      </c>
      <c r="O94" s="37">
        <v>34.151515151515099</v>
      </c>
      <c r="P94" s="37">
        <v>95.763636363636294</v>
      </c>
      <c r="Q94" s="37">
        <v>83.903030303030306</v>
      </c>
      <c r="R94" s="37">
        <v>87.224242424242405</v>
      </c>
      <c r="S94" s="44" t="s">
        <v>310</v>
      </c>
      <c r="T94" s="53">
        <v>80.145454545454498</v>
      </c>
      <c r="U94" s="45">
        <f t="shared" si="8"/>
        <v>90.191919191919169</v>
      </c>
      <c r="V94" s="49"/>
    </row>
    <row r="95" spans="1:22" x14ac:dyDescent="0.25">
      <c r="A95" s="37">
        <v>77.44</v>
      </c>
      <c r="B95" s="54" t="s">
        <v>311</v>
      </c>
      <c r="C95" s="55" t="s">
        <v>275</v>
      </c>
      <c r="D95" s="49"/>
      <c r="E95" s="41" t="s">
        <v>312</v>
      </c>
      <c r="F95" s="42" t="s">
        <v>26</v>
      </c>
      <c r="G95" s="46" t="s">
        <v>313</v>
      </c>
      <c r="H95" s="47">
        <v>50</v>
      </c>
      <c r="I95" s="44" t="s">
        <v>314</v>
      </c>
      <c r="J95" s="37">
        <v>89.139393939393898</v>
      </c>
      <c r="K95" s="37">
        <v>28.5393939393939</v>
      </c>
      <c r="L95" s="37">
        <v>96.084848484848493</v>
      </c>
      <c r="M95" s="53">
        <v>32.890909090909098</v>
      </c>
      <c r="N95" s="37">
        <v>93.030303030303003</v>
      </c>
      <c r="O95" s="37">
        <v>34.321212121212099</v>
      </c>
      <c r="P95" s="37">
        <v>95.890909090909105</v>
      </c>
      <c r="Q95" s="37">
        <v>83.842424242424201</v>
      </c>
      <c r="R95" s="37">
        <v>87.139393939393898</v>
      </c>
      <c r="S95" s="44" t="s">
        <v>315</v>
      </c>
      <c r="T95" s="37">
        <v>80.036363636363603</v>
      </c>
      <c r="U95" s="45">
        <f t="shared" si="8"/>
        <v>90.220202020202009</v>
      </c>
      <c r="V95" s="49"/>
    </row>
    <row r="96" spans="1:22" x14ac:dyDescent="0.25">
      <c r="A96" s="37">
        <v>78.36</v>
      </c>
      <c r="B96" s="54" t="s">
        <v>316</v>
      </c>
      <c r="C96" s="55" t="s">
        <v>275</v>
      </c>
      <c r="D96" s="49"/>
      <c r="E96" s="41" t="s">
        <v>317</v>
      </c>
      <c r="F96" s="42" t="s">
        <v>26</v>
      </c>
      <c r="G96" s="46" t="s">
        <v>318</v>
      </c>
      <c r="H96" s="47">
        <v>47</v>
      </c>
      <c r="I96" s="44" t="s">
        <v>307</v>
      </c>
      <c r="J96" s="37">
        <v>89.254545454545493</v>
      </c>
      <c r="K96" s="37">
        <v>28.654545454545399</v>
      </c>
      <c r="L96" s="37">
        <v>96.1636363636364</v>
      </c>
      <c r="M96" s="37">
        <v>33.018181818181802</v>
      </c>
      <c r="N96" s="37">
        <v>93.072727272727306</v>
      </c>
      <c r="O96" s="37">
        <v>34.490909090909099</v>
      </c>
      <c r="P96" s="37">
        <v>96.018181818181802</v>
      </c>
      <c r="Q96" s="37">
        <v>83.781818181818196</v>
      </c>
      <c r="R96" s="37">
        <v>87.054545454545504</v>
      </c>
      <c r="S96" s="44" t="s">
        <v>314</v>
      </c>
      <c r="T96" s="37">
        <v>79.927272727272694</v>
      </c>
      <c r="U96" s="45">
        <f t="shared" si="8"/>
        <v>90.248484848484864</v>
      </c>
      <c r="V96" s="49"/>
    </row>
    <row r="97" spans="1:22" x14ac:dyDescent="0.25">
      <c r="A97" s="37">
        <v>79.28</v>
      </c>
      <c r="B97" s="54" t="s">
        <v>319</v>
      </c>
      <c r="C97" s="55" t="s">
        <v>275</v>
      </c>
      <c r="D97" s="49"/>
      <c r="E97" s="41" t="s">
        <v>320</v>
      </c>
      <c r="F97" s="42" t="s">
        <v>26</v>
      </c>
      <c r="G97" s="46" t="s">
        <v>321</v>
      </c>
      <c r="H97" s="47">
        <v>37</v>
      </c>
      <c r="I97" s="44" t="s">
        <v>315</v>
      </c>
      <c r="J97" s="53">
        <v>89.369696969697003</v>
      </c>
      <c r="K97" s="53">
        <v>28.769696969697002</v>
      </c>
      <c r="L97" s="53">
        <v>96.242424242424207</v>
      </c>
      <c r="M97" s="37">
        <v>33.145454545454498</v>
      </c>
      <c r="N97" s="53">
        <v>93.115151515151496</v>
      </c>
      <c r="O97" s="53">
        <v>34.660606060606</v>
      </c>
      <c r="P97" s="53">
        <v>96.145454545454498</v>
      </c>
      <c r="Q97" s="53">
        <v>83.721212121212105</v>
      </c>
      <c r="R97" s="53">
        <v>86.969696969696997</v>
      </c>
      <c r="S97" s="44" t="s">
        <v>306</v>
      </c>
      <c r="T97" s="37">
        <v>79.818181818181799</v>
      </c>
      <c r="U97" s="45">
        <f t="shared" si="8"/>
        <v>90.276767676767676</v>
      </c>
      <c r="V97" s="49"/>
    </row>
    <row r="98" spans="1:22" x14ac:dyDescent="0.25">
      <c r="A98" s="37">
        <v>80.2</v>
      </c>
      <c r="B98" s="54" t="s">
        <v>322</v>
      </c>
      <c r="C98" s="55" t="s">
        <v>275</v>
      </c>
      <c r="D98" s="49"/>
      <c r="E98" s="41" t="s">
        <v>323</v>
      </c>
      <c r="F98" s="42" t="s">
        <v>26</v>
      </c>
      <c r="G98" s="46" t="s">
        <v>324</v>
      </c>
      <c r="H98" s="47">
        <v>50</v>
      </c>
      <c r="I98" s="44" t="s">
        <v>303</v>
      </c>
      <c r="J98" s="37">
        <v>89.484848484848499</v>
      </c>
      <c r="K98" s="37">
        <v>28.884848484848501</v>
      </c>
      <c r="L98" s="37">
        <v>96.321212121212099</v>
      </c>
      <c r="M98" s="37">
        <v>33.272727272727302</v>
      </c>
      <c r="N98" s="37">
        <v>93.157575757575799</v>
      </c>
      <c r="O98" s="37">
        <v>34.830303030303</v>
      </c>
      <c r="P98" s="37">
        <v>96.272727272727195</v>
      </c>
      <c r="Q98" s="37">
        <v>83.660606060606</v>
      </c>
      <c r="R98" s="37">
        <v>86.884848484848504</v>
      </c>
      <c r="S98" s="44" t="s">
        <v>303</v>
      </c>
      <c r="T98" s="37">
        <v>79.709090909090904</v>
      </c>
      <c r="U98" s="45">
        <v>91.55</v>
      </c>
      <c r="V98" s="49"/>
    </row>
    <row r="99" spans="1:22" x14ac:dyDescent="0.25">
      <c r="A99" s="37">
        <v>81.12</v>
      </c>
      <c r="B99" s="54" t="s">
        <v>325</v>
      </c>
      <c r="C99" s="55" t="s">
        <v>275</v>
      </c>
      <c r="D99" s="49"/>
      <c r="E99" s="41" t="s">
        <v>326</v>
      </c>
      <c r="F99" s="42" t="s">
        <v>26</v>
      </c>
      <c r="G99" s="46" t="s">
        <v>327</v>
      </c>
      <c r="H99" s="47">
        <v>41</v>
      </c>
      <c r="I99" s="44" t="s">
        <v>310</v>
      </c>
      <c r="J99" s="37">
        <v>89.6</v>
      </c>
      <c r="K99" s="37">
        <v>29</v>
      </c>
      <c r="L99" s="37">
        <v>96.4</v>
      </c>
      <c r="M99" s="37">
        <v>33.4</v>
      </c>
      <c r="N99" s="37">
        <v>93.2</v>
      </c>
      <c r="O99" s="37">
        <v>35</v>
      </c>
      <c r="P99" s="37">
        <v>96.4</v>
      </c>
      <c r="Q99" s="37">
        <v>83.6</v>
      </c>
      <c r="R99" s="37">
        <v>86.8</v>
      </c>
      <c r="S99" s="44" t="s">
        <v>310</v>
      </c>
      <c r="T99" s="53">
        <v>79.599999999999994</v>
      </c>
      <c r="U99" s="45">
        <v>91.65</v>
      </c>
      <c r="V99" s="49"/>
    </row>
    <row r="100" spans="1:22" x14ac:dyDescent="0.25">
      <c r="A100" s="37">
        <v>82.04</v>
      </c>
      <c r="B100" s="54" t="s">
        <v>328</v>
      </c>
      <c r="C100" s="55" t="s">
        <v>275</v>
      </c>
      <c r="D100" s="49"/>
      <c r="E100" s="41">
        <v>604717</v>
      </c>
      <c r="F100" s="42" t="s">
        <v>26</v>
      </c>
      <c r="G100" s="46" t="s">
        <v>329</v>
      </c>
      <c r="H100" s="47">
        <v>41</v>
      </c>
      <c r="I100" s="44" t="s">
        <v>307</v>
      </c>
      <c r="J100" s="37">
        <v>89.715151515151504</v>
      </c>
      <c r="K100" s="37">
        <v>29.115151515151499</v>
      </c>
      <c r="L100" s="37">
        <v>96.478787878787898</v>
      </c>
      <c r="M100" s="37">
        <v>33.527272727272702</v>
      </c>
      <c r="N100" s="37">
        <v>93.242424242424207</v>
      </c>
      <c r="O100" s="37">
        <v>35.169696969696901</v>
      </c>
      <c r="P100" s="37">
        <v>96.527272727272702</v>
      </c>
      <c r="Q100" s="37">
        <v>83.539393939393904</v>
      </c>
      <c r="R100" s="37">
        <v>86.715151515151504</v>
      </c>
      <c r="S100" s="44" t="s">
        <v>314</v>
      </c>
      <c r="T100" s="37">
        <v>79.490909090909099</v>
      </c>
      <c r="U100" s="45">
        <v>91.75</v>
      </c>
      <c r="V100" s="49"/>
    </row>
    <row r="101" spans="1:22" x14ac:dyDescent="0.25">
      <c r="A101" s="37">
        <v>82.96</v>
      </c>
      <c r="B101" s="54" t="s">
        <v>330</v>
      </c>
      <c r="C101" s="55" t="s">
        <v>275</v>
      </c>
      <c r="D101" s="49"/>
      <c r="E101" s="41">
        <v>557935</v>
      </c>
      <c r="F101" s="42" t="s">
        <v>26</v>
      </c>
      <c r="G101" s="46" t="s">
        <v>331</v>
      </c>
      <c r="H101" s="47">
        <v>50</v>
      </c>
      <c r="I101" s="44" t="s">
        <v>303</v>
      </c>
      <c r="J101" s="37">
        <v>89.830303030303099</v>
      </c>
      <c r="K101" s="37">
        <v>29.230303030302998</v>
      </c>
      <c r="L101" s="37">
        <v>96.557575757575805</v>
      </c>
      <c r="M101" s="37">
        <v>33.654545454545399</v>
      </c>
      <c r="N101" s="37">
        <v>93.284848484848496</v>
      </c>
      <c r="O101" s="37">
        <v>35.339393939393901</v>
      </c>
      <c r="P101" s="37">
        <v>96.654545454545399</v>
      </c>
      <c r="Q101" s="37">
        <v>83.478787878787898</v>
      </c>
      <c r="R101" s="37">
        <v>86.630303030303097</v>
      </c>
      <c r="S101" s="44" t="s">
        <v>303</v>
      </c>
      <c r="T101" s="37">
        <v>79.381818181818105</v>
      </c>
      <c r="U101" s="45">
        <v>91.85</v>
      </c>
      <c r="V101" s="49"/>
    </row>
    <row r="102" spans="1:22" x14ac:dyDescent="0.25">
      <c r="A102" s="37">
        <v>83.88</v>
      </c>
      <c r="B102" s="54" t="s">
        <v>332</v>
      </c>
      <c r="C102" s="55" t="s">
        <v>275</v>
      </c>
      <c r="D102" s="49"/>
      <c r="E102" s="41" t="s">
        <v>333</v>
      </c>
      <c r="F102" s="42" t="s">
        <v>26</v>
      </c>
      <c r="G102" s="46" t="s">
        <v>334</v>
      </c>
      <c r="H102" s="47">
        <v>50</v>
      </c>
      <c r="I102" s="44" t="s">
        <v>335</v>
      </c>
      <c r="J102" s="37">
        <v>89.945454545454595</v>
      </c>
      <c r="K102" s="37">
        <v>29.345454545454601</v>
      </c>
      <c r="L102" s="37">
        <v>96.636363636363598</v>
      </c>
      <c r="M102" s="37">
        <v>33.781818181818203</v>
      </c>
      <c r="N102" s="37">
        <v>93.3272727272727</v>
      </c>
      <c r="O102" s="37">
        <v>35.509090909090901</v>
      </c>
      <c r="P102" s="37">
        <v>96.781818181818196</v>
      </c>
      <c r="Q102" s="37">
        <v>83.418181818181793</v>
      </c>
      <c r="R102" s="37">
        <v>86.545454545454604</v>
      </c>
      <c r="S102" s="44" t="s">
        <v>335</v>
      </c>
      <c r="T102" s="37">
        <v>79.272727272727295</v>
      </c>
      <c r="U102" s="45">
        <f t="shared" ref="U102:U107" si="9">(J102+L102+N102+P102+R102+T102)/6</f>
        <v>90.418181818181836</v>
      </c>
      <c r="V102" s="49"/>
    </row>
    <row r="103" spans="1:22" x14ac:dyDescent="0.25">
      <c r="A103" s="37">
        <v>84.8</v>
      </c>
      <c r="B103" s="54" t="s">
        <v>336</v>
      </c>
      <c r="C103" s="55" t="s">
        <v>275</v>
      </c>
      <c r="D103" s="49"/>
      <c r="E103" s="41">
        <v>567279</v>
      </c>
      <c r="F103" s="42" t="s">
        <v>26</v>
      </c>
      <c r="G103" s="46" t="s">
        <v>337</v>
      </c>
      <c r="H103" s="47">
        <v>46</v>
      </c>
      <c r="I103" s="44" t="s">
        <v>338</v>
      </c>
      <c r="J103" s="37">
        <v>90.060606060606105</v>
      </c>
      <c r="K103" s="37">
        <v>29.4606060606061</v>
      </c>
      <c r="L103" s="37">
        <v>96.715151515151504</v>
      </c>
      <c r="M103" s="37">
        <v>33.909090909090899</v>
      </c>
      <c r="N103" s="37">
        <v>93.369696969697003</v>
      </c>
      <c r="O103" s="37">
        <v>35.678787878787801</v>
      </c>
      <c r="P103" s="37">
        <v>96.909090909090907</v>
      </c>
      <c r="Q103" s="37">
        <v>83.357575757575702</v>
      </c>
      <c r="R103" s="37">
        <v>86.460606060606096</v>
      </c>
      <c r="S103" s="44" t="s">
        <v>73</v>
      </c>
      <c r="T103" s="37">
        <v>79.1636363636363</v>
      </c>
      <c r="U103" s="45">
        <f t="shared" si="9"/>
        <v>90.446464646464662</v>
      </c>
      <c r="V103" s="49"/>
    </row>
    <row r="104" spans="1:22" x14ac:dyDescent="0.25">
      <c r="A104" s="37">
        <v>85.72</v>
      </c>
      <c r="B104" s="54" t="s">
        <v>339</v>
      </c>
      <c r="C104" s="55" t="s">
        <v>275</v>
      </c>
      <c r="D104" s="49"/>
      <c r="E104" s="41">
        <v>628940</v>
      </c>
      <c r="F104" s="42" t="s">
        <v>26</v>
      </c>
      <c r="G104" s="46" t="s">
        <v>340</v>
      </c>
      <c r="H104" s="47">
        <v>46</v>
      </c>
      <c r="I104" s="44" t="s">
        <v>341</v>
      </c>
      <c r="J104" s="37">
        <v>90.175757575757601</v>
      </c>
      <c r="K104" s="37">
        <v>29.575757575757599</v>
      </c>
      <c r="L104" s="37">
        <v>96.793939393939397</v>
      </c>
      <c r="M104" s="37">
        <v>34.036363636363603</v>
      </c>
      <c r="N104" s="37">
        <v>93.412121212121207</v>
      </c>
      <c r="O104" s="37">
        <v>35.848484848484802</v>
      </c>
      <c r="P104" s="37">
        <v>97.036363636363603</v>
      </c>
      <c r="Q104" s="37">
        <v>83.296969696969697</v>
      </c>
      <c r="R104" s="37">
        <v>86.375757575757603</v>
      </c>
      <c r="S104" s="44" t="s">
        <v>341</v>
      </c>
      <c r="T104" s="53">
        <v>79.054545454545405</v>
      </c>
      <c r="U104" s="45">
        <f t="shared" si="9"/>
        <v>90.47474747474746</v>
      </c>
      <c r="V104" s="49"/>
    </row>
    <row r="105" spans="1:22" x14ac:dyDescent="0.25">
      <c r="A105" s="37">
        <v>86.64</v>
      </c>
      <c r="B105" s="54" t="s">
        <v>342</v>
      </c>
      <c r="C105" s="55" t="s">
        <v>275</v>
      </c>
      <c r="D105" s="49"/>
      <c r="E105" s="41" t="s">
        <v>343</v>
      </c>
      <c r="F105" s="42" t="s">
        <v>26</v>
      </c>
      <c r="G105" s="46" t="s">
        <v>344</v>
      </c>
      <c r="H105" s="47">
        <v>50</v>
      </c>
      <c r="I105" s="44" t="s">
        <v>345</v>
      </c>
      <c r="J105" s="37">
        <v>90.290909090909096</v>
      </c>
      <c r="K105" s="37">
        <v>29.690909090909098</v>
      </c>
      <c r="L105" s="37">
        <v>96.872727272727303</v>
      </c>
      <c r="M105" s="53">
        <v>34.1636363636363</v>
      </c>
      <c r="N105" s="37">
        <v>93.454545454545496</v>
      </c>
      <c r="O105" s="37">
        <v>36.018181818181802</v>
      </c>
      <c r="P105" s="37">
        <v>97.1636363636363</v>
      </c>
      <c r="Q105" s="37">
        <v>83.236363636363606</v>
      </c>
      <c r="R105" s="37">
        <v>86.290909090909096</v>
      </c>
      <c r="S105" s="44" t="s">
        <v>346</v>
      </c>
      <c r="T105" s="37">
        <v>78.945454545454496</v>
      </c>
      <c r="U105" s="45">
        <f t="shared" si="9"/>
        <v>90.5030303030303</v>
      </c>
      <c r="V105" s="49"/>
    </row>
    <row r="106" spans="1:22" x14ac:dyDescent="0.25">
      <c r="A106" s="37">
        <v>87.56</v>
      </c>
      <c r="B106" s="54" t="s">
        <v>347</v>
      </c>
      <c r="C106" s="55" t="s">
        <v>275</v>
      </c>
      <c r="D106" s="49"/>
      <c r="E106" s="41">
        <v>633314</v>
      </c>
      <c r="F106" s="42" t="s">
        <v>26</v>
      </c>
      <c r="G106" s="46" t="s">
        <v>348</v>
      </c>
      <c r="H106" s="47">
        <v>49</v>
      </c>
      <c r="I106" s="44" t="s">
        <v>73</v>
      </c>
      <c r="J106" s="37">
        <v>90.406060606060606</v>
      </c>
      <c r="K106" s="37">
        <v>29.806060606060601</v>
      </c>
      <c r="L106" s="37">
        <v>96.951515151515196</v>
      </c>
      <c r="M106" s="37">
        <v>34.290909090909103</v>
      </c>
      <c r="N106" s="37">
        <v>93.4969696969697</v>
      </c>
      <c r="O106" s="37">
        <v>36.187878787878702</v>
      </c>
      <c r="P106" s="37">
        <v>97.290909090909096</v>
      </c>
      <c r="Q106" s="37">
        <v>83.175757575757601</v>
      </c>
      <c r="R106" s="37">
        <v>86.206060606060603</v>
      </c>
      <c r="S106" s="44" t="s">
        <v>345</v>
      </c>
      <c r="T106" s="37">
        <v>78.8363636363636</v>
      </c>
      <c r="U106" s="45">
        <f t="shared" si="9"/>
        <v>90.531313131313127</v>
      </c>
      <c r="V106" s="49"/>
    </row>
    <row r="107" spans="1:22" x14ac:dyDescent="0.25">
      <c r="A107" s="37">
        <v>88.48</v>
      </c>
      <c r="B107" s="54" t="s">
        <v>349</v>
      </c>
      <c r="C107" s="55" t="s">
        <v>275</v>
      </c>
      <c r="D107" s="49"/>
      <c r="E107" s="41">
        <v>598159</v>
      </c>
      <c r="F107" s="42" t="s">
        <v>26</v>
      </c>
      <c r="G107" s="46" t="s">
        <v>350</v>
      </c>
      <c r="H107" s="47">
        <v>51</v>
      </c>
      <c r="I107" s="44" t="s">
        <v>346</v>
      </c>
      <c r="J107" s="53">
        <v>90.521212121212102</v>
      </c>
      <c r="K107" s="53">
        <v>29.9212121212121</v>
      </c>
      <c r="L107" s="53">
        <v>97.030303030303003</v>
      </c>
      <c r="M107" s="37">
        <v>34.4181818181818</v>
      </c>
      <c r="N107" s="53">
        <v>93.539393939394003</v>
      </c>
      <c r="O107" s="53">
        <v>36.357575757575702</v>
      </c>
      <c r="P107" s="53">
        <v>97.418181818181793</v>
      </c>
      <c r="Q107" s="53">
        <v>83.115151515151496</v>
      </c>
      <c r="R107" s="53">
        <v>86.121212121212096</v>
      </c>
      <c r="S107" s="44" t="s">
        <v>338</v>
      </c>
      <c r="T107" s="37">
        <v>78.727272727272705</v>
      </c>
      <c r="U107" s="45">
        <f t="shared" si="9"/>
        <v>90.559595959595967</v>
      </c>
      <c r="V107" s="49"/>
    </row>
    <row r="108" spans="1:22" x14ac:dyDescent="0.25">
      <c r="A108" s="37">
        <v>89.4</v>
      </c>
      <c r="B108" s="54" t="s">
        <v>351</v>
      </c>
      <c r="C108" s="55" t="s">
        <v>275</v>
      </c>
      <c r="D108" s="49"/>
      <c r="E108" s="41">
        <v>589990</v>
      </c>
      <c r="F108" s="42" t="s">
        <v>26</v>
      </c>
      <c r="G108" s="46" t="s">
        <v>85</v>
      </c>
      <c r="H108" s="47">
        <v>41</v>
      </c>
      <c r="I108" s="44" t="s">
        <v>335</v>
      </c>
      <c r="J108" s="37">
        <v>90.636363636363697</v>
      </c>
      <c r="K108" s="37">
        <v>30.036363636363699</v>
      </c>
      <c r="L108" s="37">
        <v>97.109090909090895</v>
      </c>
      <c r="M108" s="37">
        <v>34.545454545454497</v>
      </c>
      <c r="N108" s="37">
        <v>93.581818181818207</v>
      </c>
      <c r="O108" s="37">
        <v>36.527272727272702</v>
      </c>
      <c r="P108" s="37">
        <v>97.545454545454504</v>
      </c>
      <c r="Q108" s="37">
        <v>83.054545454545405</v>
      </c>
      <c r="R108" s="37">
        <v>86.036363636363603</v>
      </c>
      <c r="S108" s="44" t="s">
        <v>335</v>
      </c>
      <c r="T108" s="37">
        <v>78.618181818181796</v>
      </c>
      <c r="U108" s="45">
        <v>91.95</v>
      </c>
      <c r="V108" s="49"/>
    </row>
    <row r="109" spans="1:22" x14ac:dyDescent="0.25">
      <c r="A109" s="37">
        <v>90.32</v>
      </c>
      <c r="B109" s="54" t="s">
        <v>352</v>
      </c>
      <c r="C109" s="55" t="s">
        <v>275</v>
      </c>
      <c r="D109" s="49"/>
      <c r="E109" s="41">
        <v>624173</v>
      </c>
      <c r="F109" s="42" t="s">
        <v>26</v>
      </c>
      <c r="G109" s="46" t="s">
        <v>236</v>
      </c>
      <c r="H109" s="47">
        <v>50</v>
      </c>
      <c r="I109" s="44" t="s">
        <v>341</v>
      </c>
      <c r="J109" s="37">
        <v>90.751515151515207</v>
      </c>
      <c r="K109" s="37">
        <v>30.151515151515198</v>
      </c>
      <c r="L109" s="37">
        <v>97.187878787878802</v>
      </c>
      <c r="M109" s="37">
        <v>34.6727272727273</v>
      </c>
      <c r="N109" s="37">
        <v>93.624242424242397</v>
      </c>
      <c r="O109" s="37">
        <v>36.696969696969703</v>
      </c>
      <c r="P109" s="37">
        <v>97.672727272727201</v>
      </c>
      <c r="Q109" s="37">
        <v>82.993939393939399</v>
      </c>
      <c r="R109" s="37">
        <v>85.951515151515196</v>
      </c>
      <c r="S109" s="44" t="s">
        <v>341</v>
      </c>
      <c r="T109" s="53">
        <v>78.509090909090901</v>
      </c>
      <c r="U109" s="45">
        <v>92.05</v>
      </c>
      <c r="V109" s="49"/>
    </row>
    <row r="110" spans="1:22" x14ac:dyDescent="0.25">
      <c r="A110" s="37">
        <v>91.24</v>
      </c>
      <c r="B110" s="54" t="s">
        <v>353</v>
      </c>
      <c r="C110" s="55" t="s">
        <v>275</v>
      </c>
      <c r="D110" s="49"/>
      <c r="E110" s="41" t="s">
        <v>354</v>
      </c>
      <c r="F110" s="42" t="s">
        <v>26</v>
      </c>
      <c r="G110" s="46" t="s">
        <v>355</v>
      </c>
      <c r="H110" s="47">
        <v>50</v>
      </c>
      <c r="I110" s="44" t="s">
        <v>73</v>
      </c>
      <c r="J110" s="37">
        <v>90.866666666666703</v>
      </c>
      <c r="K110" s="37">
        <v>30.266666666666701</v>
      </c>
      <c r="L110" s="37">
        <v>97.266666666666694</v>
      </c>
      <c r="M110" s="37">
        <v>34.799999999999997</v>
      </c>
      <c r="N110" s="37">
        <v>93.6666666666667</v>
      </c>
      <c r="O110" s="37">
        <v>36.866666666666603</v>
      </c>
      <c r="P110" s="37">
        <v>97.8</v>
      </c>
      <c r="Q110" s="37">
        <v>82.933333333333294</v>
      </c>
      <c r="R110" s="37">
        <v>85.866666666666703</v>
      </c>
      <c r="S110" s="44" t="s">
        <v>345</v>
      </c>
      <c r="T110" s="37">
        <v>78.400000000000006</v>
      </c>
      <c r="U110" s="45">
        <v>92.15</v>
      </c>
      <c r="V110" s="49"/>
    </row>
    <row r="111" spans="1:22" x14ac:dyDescent="0.25">
      <c r="A111" s="37">
        <v>92.16</v>
      </c>
      <c r="B111" s="54" t="s">
        <v>356</v>
      </c>
      <c r="C111" s="55" t="s">
        <v>275</v>
      </c>
      <c r="D111" s="49"/>
      <c r="E111" s="41">
        <v>578333</v>
      </c>
      <c r="F111" s="42" t="s">
        <v>26</v>
      </c>
      <c r="G111" s="46" t="s">
        <v>357</v>
      </c>
      <c r="H111" s="47">
        <v>48</v>
      </c>
      <c r="I111" s="44" t="s">
        <v>335</v>
      </c>
      <c r="J111" s="37">
        <v>90.981818181818198</v>
      </c>
      <c r="K111" s="37">
        <v>30.3818181818182</v>
      </c>
      <c r="L111" s="37">
        <v>97.345454545454601</v>
      </c>
      <c r="M111" s="37">
        <v>34.927272727272701</v>
      </c>
      <c r="N111" s="37">
        <v>93.709090909090904</v>
      </c>
      <c r="O111" s="37">
        <v>37.036363636363603</v>
      </c>
      <c r="P111" s="37">
        <v>97.927272727272694</v>
      </c>
      <c r="Q111" s="37">
        <v>82.872727272727204</v>
      </c>
      <c r="R111" s="37">
        <v>85.781818181818196</v>
      </c>
      <c r="S111" s="44" t="s">
        <v>335</v>
      </c>
      <c r="T111" s="37">
        <v>78.290909090909096</v>
      </c>
      <c r="U111" s="45">
        <v>92.25</v>
      </c>
      <c r="V111" s="49"/>
    </row>
    <row r="112" spans="1:22" x14ac:dyDescent="0.25">
      <c r="A112" s="37">
        <v>93.08</v>
      </c>
      <c r="B112" s="54" t="s">
        <v>358</v>
      </c>
      <c r="C112" s="55" t="s">
        <v>275</v>
      </c>
      <c r="D112" s="49"/>
      <c r="E112" s="41">
        <v>604061</v>
      </c>
      <c r="F112" s="42" t="s">
        <v>26</v>
      </c>
      <c r="G112" s="46" t="s">
        <v>359</v>
      </c>
      <c r="H112" s="47">
        <v>49</v>
      </c>
      <c r="I112" s="44" t="s">
        <v>360</v>
      </c>
      <c r="J112" s="37">
        <v>91.096969696969694</v>
      </c>
      <c r="K112" s="37">
        <v>30.4969696969697</v>
      </c>
      <c r="L112" s="37">
        <v>97.424242424242394</v>
      </c>
      <c r="M112" s="37">
        <v>35.054545454545398</v>
      </c>
      <c r="N112" s="37">
        <v>93.751515151515207</v>
      </c>
      <c r="O112" s="37">
        <v>37.206060606060603</v>
      </c>
      <c r="P112" s="37">
        <v>98.054545454545405</v>
      </c>
      <c r="Q112" s="37">
        <v>82.812121212121198</v>
      </c>
      <c r="R112" s="37">
        <v>85.696969696969703</v>
      </c>
      <c r="S112" s="44" t="s">
        <v>360</v>
      </c>
      <c r="T112" s="37">
        <v>78.181818181818201</v>
      </c>
      <c r="U112" s="45">
        <f t="shared" ref="U112:U117" si="10">(J112+L112+N112+P112+R112+T112)/6</f>
        <v>90.701010101010112</v>
      </c>
      <c r="V112" s="49"/>
    </row>
    <row r="113" spans="1:22" x14ac:dyDescent="0.25">
      <c r="A113" s="37">
        <v>94</v>
      </c>
      <c r="B113" s="54" t="s">
        <v>361</v>
      </c>
      <c r="C113" s="55" t="s">
        <v>275</v>
      </c>
      <c r="D113" s="49"/>
      <c r="E113" s="41">
        <v>599507</v>
      </c>
      <c r="F113" s="42" t="s">
        <v>26</v>
      </c>
      <c r="G113" s="46" t="s">
        <v>362</v>
      </c>
      <c r="H113" s="47">
        <v>50</v>
      </c>
      <c r="I113" s="44" t="s">
        <v>363</v>
      </c>
      <c r="J113" s="37">
        <v>91.212121212121204</v>
      </c>
      <c r="K113" s="37">
        <v>30.612121212121199</v>
      </c>
      <c r="L113" s="37">
        <v>97.5030303030303</v>
      </c>
      <c r="M113" s="37">
        <v>35.181818181818201</v>
      </c>
      <c r="N113" s="37">
        <v>93.793939393939397</v>
      </c>
      <c r="O113" s="37">
        <v>37.375757575757497</v>
      </c>
      <c r="P113" s="37">
        <v>98.181818181818201</v>
      </c>
      <c r="Q113" s="37">
        <v>82.751515151515093</v>
      </c>
      <c r="R113" s="37">
        <v>85.612121212121195</v>
      </c>
      <c r="S113" s="44" t="s">
        <v>73</v>
      </c>
      <c r="T113" s="37">
        <v>78.072727272727306</v>
      </c>
      <c r="U113" s="45">
        <f t="shared" si="10"/>
        <v>90.729292929292924</v>
      </c>
      <c r="V113" s="49"/>
    </row>
    <row r="114" spans="1:22" x14ac:dyDescent="0.25">
      <c r="A114" s="37">
        <v>94.92</v>
      </c>
      <c r="B114" s="54" t="s">
        <v>364</v>
      </c>
      <c r="C114" s="55" t="s">
        <v>275</v>
      </c>
      <c r="D114" s="49"/>
      <c r="E114" s="41">
        <v>580068</v>
      </c>
      <c r="F114" s="42" t="s">
        <v>26</v>
      </c>
      <c r="G114" s="46" t="s">
        <v>365</v>
      </c>
      <c r="H114" s="47">
        <v>51</v>
      </c>
      <c r="I114" s="44" t="s">
        <v>366</v>
      </c>
      <c r="J114" s="37">
        <v>91.327272727272799</v>
      </c>
      <c r="K114" s="37">
        <v>30.727272727272702</v>
      </c>
      <c r="L114" s="37">
        <v>97.581818181818207</v>
      </c>
      <c r="M114" s="37">
        <v>35.309090909090898</v>
      </c>
      <c r="N114" s="37">
        <v>93.8363636363636</v>
      </c>
      <c r="O114" s="37">
        <v>37.545454545454497</v>
      </c>
      <c r="P114" s="37">
        <v>98.309090909090898</v>
      </c>
      <c r="Q114" s="37">
        <v>82.690909090909102</v>
      </c>
      <c r="R114" s="37">
        <v>85.527272727272702</v>
      </c>
      <c r="S114" s="44" t="s">
        <v>366</v>
      </c>
      <c r="T114" s="53">
        <v>77.963636363636397</v>
      </c>
      <c r="U114" s="45">
        <f t="shared" si="10"/>
        <v>90.757575757575765</v>
      </c>
      <c r="V114" s="49"/>
    </row>
    <row r="115" spans="1:22" x14ac:dyDescent="0.25">
      <c r="A115" s="37">
        <v>95.84</v>
      </c>
      <c r="B115" s="54" t="s">
        <v>367</v>
      </c>
      <c r="C115" s="55" t="s">
        <v>275</v>
      </c>
      <c r="D115" s="49"/>
      <c r="E115" s="41">
        <v>588057</v>
      </c>
      <c r="F115" s="42" t="s">
        <v>26</v>
      </c>
      <c r="G115" s="46" t="s">
        <v>368</v>
      </c>
      <c r="H115" s="47">
        <v>39</v>
      </c>
      <c r="I115" s="44" t="s">
        <v>369</v>
      </c>
      <c r="J115" s="37">
        <v>91.442424242424295</v>
      </c>
      <c r="K115" s="37">
        <v>30.8424242424243</v>
      </c>
      <c r="L115" s="37">
        <v>97.660606060606099</v>
      </c>
      <c r="M115" s="53">
        <v>35.436363636363602</v>
      </c>
      <c r="N115" s="37">
        <v>93.878787878787904</v>
      </c>
      <c r="O115" s="37">
        <v>37.715151515151497</v>
      </c>
      <c r="P115" s="37">
        <v>98.436363636363595</v>
      </c>
      <c r="Q115" s="37">
        <v>82.630303030302997</v>
      </c>
      <c r="R115" s="37">
        <v>85.442424242424295</v>
      </c>
      <c r="S115" s="44" t="s">
        <v>370</v>
      </c>
      <c r="T115" s="37">
        <v>77.854545454545402</v>
      </c>
      <c r="U115" s="45">
        <f t="shared" si="10"/>
        <v>90.785858585858591</v>
      </c>
      <c r="V115" s="49"/>
    </row>
    <row r="116" spans="1:22" x14ac:dyDescent="0.25">
      <c r="A116" s="37">
        <v>96.76</v>
      </c>
      <c r="B116" s="54" t="s">
        <v>371</v>
      </c>
      <c r="C116" s="55" t="s">
        <v>275</v>
      </c>
      <c r="D116" s="49"/>
      <c r="E116" s="41">
        <v>627022</v>
      </c>
      <c r="F116" s="42" t="s">
        <v>26</v>
      </c>
      <c r="G116" s="46" t="s">
        <v>372</v>
      </c>
      <c r="H116" s="47">
        <v>42</v>
      </c>
      <c r="I116" s="44" t="s">
        <v>73</v>
      </c>
      <c r="J116" s="37">
        <v>91.557575757575805</v>
      </c>
      <c r="K116" s="37">
        <v>30.9575757575758</v>
      </c>
      <c r="L116" s="37">
        <v>97.739393939393906</v>
      </c>
      <c r="M116" s="37">
        <v>35.563636363636299</v>
      </c>
      <c r="N116" s="37">
        <v>93.921212121212093</v>
      </c>
      <c r="O116" s="37">
        <v>37.884848484848398</v>
      </c>
      <c r="P116" s="37">
        <v>98.563636363636306</v>
      </c>
      <c r="Q116" s="37">
        <v>82.569696969696906</v>
      </c>
      <c r="R116" s="37">
        <v>85.357575757575802</v>
      </c>
      <c r="S116" s="44" t="s">
        <v>369</v>
      </c>
      <c r="T116" s="37">
        <v>77.745454545454507</v>
      </c>
      <c r="U116" s="45">
        <f t="shared" si="10"/>
        <v>90.814141414141417</v>
      </c>
      <c r="V116" s="49"/>
    </row>
    <row r="117" spans="1:22" x14ac:dyDescent="0.25">
      <c r="A117" s="37">
        <v>97.68</v>
      </c>
      <c r="B117" s="54" t="s">
        <v>373</v>
      </c>
      <c r="C117" s="55" t="s">
        <v>275</v>
      </c>
      <c r="D117" s="49"/>
      <c r="E117" s="41" t="s">
        <v>374</v>
      </c>
      <c r="F117" s="42" t="s">
        <v>26</v>
      </c>
      <c r="G117" s="46" t="s">
        <v>375</v>
      </c>
      <c r="H117" s="47">
        <v>50</v>
      </c>
      <c r="I117" s="44" t="s">
        <v>370</v>
      </c>
      <c r="J117" s="53">
        <v>91.6727272727273</v>
      </c>
      <c r="K117" s="53">
        <v>31.072727272727299</v>
      </c>
      <c r="L117" s="53">
        <v>97.818181818181799</v>
      </c>
      <c r="M117" s="37">
        <v>35.690909090909102</v>
      </c>
      <c r="N117" s="53">
        <v>93.963636363636397</v>
      </c>
      <c r="O117" s="53">
        <v>38.054545454545398</v>
      </c>
      <c r="P117" s="53">
        <v>98.690909090909102</v>
      </c>
      <c r="Q117" s="53">
        <v>82.509090909090901</v>
      </c>
      <c r="R117" s="53">
        <v>85.272727272727295</v>
      </c>
      <c r="S117" s="44" t="s">
        <v>363</v>
      </c>
      <c r="T117" s="37">
        <v>77.636363636363598</v>
      </c>
      <c r="U117" s="45">
        <f t="shared" si="10"/>
        <v>90.842424242424258</v>
      </c>
      <c r="V117" s="49"/>
    </row>
    <row r="118" spans="1:22" x14ac:dyDescent="0.25">
      <c r="A118" s="37">
        <v>98.6</v>
      </c>
      <c r="B118" s="54" t="s">
        <v>376</v>
      </c>
      <c r="C118" s="55" t="s">
        <v>275</v>
      </c>
      <c r="D118" s="49"/>
      <c r="E118" s="41">
        <v>567209</v>
      </c>
      <c r="F118" s="42" t="s">
        <v>26</v>
      </c>
      <c r="G118" s="46" t="s">
        <v>377</v>
      </c>
      <c r="H118" s="47">
        <v>42</v>
      </c>
      <c r="I118" s="44" t="s">
        <v>360</v>
      </c>
      <c r="J118" s="37">
        <v>91.787878787878796</v>
      </c>
      <c r="K118" s="37">
        <v>31.187878787878802</v>
      </c>
      <c r="L118" s="37">
        <v>97.896969696969705</v>
      </c>
      <c r="M118" s="37">
        <v>35.818181818181799</v>
      </c>
      <c r="N118" s="37">
        <v>94.006060606060601</v>
      </c>
      <c r="O118" s="37">
        <v>38.224242424242398</v>
      </c>
      <c r="P118" s="37">
        <v>98.818181818181799</v>
      </c>
      <c r="Q118" s="37">
        <v>82.448484848484796</v>
      </c>
      <c r="R118" s="37">
        <v>85.187878787878802</v>
      </c>
      <c r="S118" s="44" t="s">
        <v>360</v>
      </c>
      <c r="T118" s="37">
        <v>77.527272727272702</v>
      </c>
      <c r="U118" s="45">
        <v>92.35</v>
      </c>
      <c r="V118" s="49"/>
    </row>
    <row r="119" spans="1:22" x14ac:dyDescent="0.25">
      <c r="A119" s="37">
        <v>99.52</v>
      </c>
      <c r="B119" s="54" t="s">
        <v>378</v>
      </c>
      <c r="C119" s="55" t="s">
        <v>275</v>
      </c>
      <c r="D119" s="49"/>
      <c r="E119" s="41" t="s">
        <v>379</v>
      </c>
      <c r="F119" s="42" t="s">
        <v>26</v>
      </c>
      <c r="G119" s="46" t="s">
        <v>295</v>
      </c>
      <c r="H119" s="43">
        <v>40</v>
      </c>
      <c r="I119" s="44" t="s">
        <v>366</v>
      </c>
      <c r="J119" s="37">
        <v>91.903030303030306</v>
      </c>
      <c r="K119" s="37">
        <v>31.303030303030301</v>
      </c>
      <c r="L119" s="37">
        <v>97.975757575757598</v>
      </c>
      <c r="M119" s="37">
        <v>35.945454545454503</v>
      </c>
      <c r="N119" s="37">
        <v>94.048484848484904</v>
      </c>
      <c r="O119" s="37">
        <v>38.393939393939398</v>
      </c>
      <c r="P119" s="37">
        <v>98.945454545454496</v>
      </c>
      <c r="Q119" s="37">
        <v>82.387878787878805</v>
      </c>
      <c r="R119" s="37">
        <v>85.103030303030295</v>
      </c>
      <c r="S119" s="44" t="s">
        <v>366</v>
      </c>
      <c r="T119" s="53">
        <v>77.418181818181793</v>
      </c>
      <c r="U119" s="45">
        <v>92.45</v>
      </c>
      <c r="V119" s="49"/>
    </row>
  </sheetData>
  <mergeCells count="2">
    <mergeCell ref="A4:V4"/>
    <mergeCell ref="A5:V5"/>
  </mergeCells>
  <dataValidations count="2">
    <dataValidation allowBlank="1" showErrorMessage="1" errorTitle="Pangkat" error="Pangkat Tidak Tersedia, silahkan ketik kembali ... [Klik Cancel]" promptTitle="Pilih Pangkat" prompt="Ketik / Pilih Pangkat" sqref="J1:K3">
      <formula1>0</formula1>
      <formula2>0</formula2>
    </dataValidation>
    <dataValidation allowBlank="1" showInputMessage="1" showErrorMessage="1" errorTitle="Korps" error="Korps Tidak Tersedia, silahkan ketik kembali ... [Klik Cancel]" sqref="E12:E119">
      <formula1>0</formula1>
      <formula2>0</formula2>
    </dataValidation>
  </dataValidations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ave">
                <anchor moveWithCells="1" sizeWithCells="1">
                  <from>
                    <xdr:col>18</xdr:col>
                    <xdr:colOff>0</xdr:colOff>
                    <xdr:row>6</xdr:row>
                    <xdr:rowOff>9525</xdr:rowOff>
                  </from>
                  <to>
                    <xdr:col>19</xdr:col>
                    <xdr:colOff>476250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Clear">
                <anchor moveWithCells="1" sizeWithCells="1">
                  <from>
                    <xdr:col>20</xdr:col>
                    <xdr:colOff>0</xdr:colOff>
                    <xdr:row>6</xdr:row>
                    <xdr:rowOff>9525</xdr:rowOff>
                  </from>
                  <to>
                    <xdr:col>21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11"/>
  <sheetViews>
    <sheetView tabSelected="1" workbookViewId="0">
      <selection activeCell="F15" sqref="F15"/>
    </sheetView>
  </sheetViews>
  <sheetFormatPr defaultRowHeight="15" x14ac:dyDescent="0.25"/>
  <sheetData>
    <row r="1" spans="1:22" ht="31.5" x14ac:dyDescent="0.25">
      <c r="A1" s="33" t="s">
        <v>5</v>
      </c>
      <c r="B1" s="34" t="s">
        <v>6</v>
      </c>
      <c r="C1" s="34" t="s">
        <v>7</v>
      </c>
      <c r="D1" s="34" t="s">
        <v>8</v>
      </c>
      <c r="E1" s="34" t="s">
        <v>9</v>
      </c>
      <c r="F1" s="34" t="s">
        <v>10</v>
      </c>
      <c r="G1" s="34" t="s">
        <v>11</v>
      </c>
      <c r="H1" s="34" t="s">
        <v>12</v>
      </c>
      <c r="I1" s="35" t="s">
        <v>13</v>
      </c>
      <c r="J1" s="33" t="s">
        <v>14</v>
      </c>
      <c r="K1" s="36" t="s">
        <v>15</v>
      </c>
      <c r="L1" s="33" t="s">
        <v>14</v>
      </c>
      <c r="M1" s="36" t="s">
        <v>16</v>
      </c>
      <c r="N1" s="33" t="s">
        <v>14</v>
      </c>
      <c r="O1" s="36" t="s">
        <v>17</v>
      </c>
      <c r="P1" s="33" t="s">
        <v>14</v>
      </c>
      <c r="Q1" s="36" t="s">
        <v>18</v>
      </c>
      <c r="R1" s="33" t="s">
        <v>14</v>
      </c>
      <c r="S1" s="33" t="s">
        <v>19</v>
      </c>
      <c r="T1" s="33" t="s">
        <v>14</v>
      </c>
      <c r="U1" s="36" t="s">
        <v>20</v>
      </c>
      <c r="V1" s="33" t="s">
        <v>21</v>
      </c>
    </row>
    <row r="2" spans="1:22" ht="15.75" x14ac:dyDescent="0.25">
      <c r="A2" s="37">
        <v>1</v>
      </c>
      <c r="B2" s="34">
        <v>2</v>
      </c>
      <c r="C2" s="34">
        <v>3</v>
      </c>
      <c r="D2" s="34">
        <v>4</v>
      </c>
      <c r="E2" s="34">
        <v>5</v>
      </c>
      <c r="F2" s="37">
        <v>6</v>
      </c>
      <c r="G2" s="34">
        <v>7</v>
      </c>
      <c r="H2" s="34">
        <v>8</v>
      </c>
      <c r="I2" s="34">
        <v>9</v>
      </c>
      <c r="J2" s="34">
        <v>10</v>
      </c>
      <c r="K2" s="37">
        <v>11</v>
      </c>
      <c r="L2" s="34">
        <v>12</v>
      </c>
      <c r="M2" s="34">
        <v>13</v>
      </c>
      <c r="N2" s="34">
        <v>14</v>
      </c>
      <c r="O2" s="34">
        <v>15</v>
      </c>
      <c r="P2" s="37">
        <v>16</v>
      </c>
      <c r="Q2" s="34">
        <v>17</v>
      </c>
      <c r="R2" s="34">
        <v>18</v>
      </c>
      <c r="S2" s="34">
        <v>19</v>
      </c>
      <c r="T2" s="34">
        <v>20</v>
      </c>
      <c r="U2" s="37">
        <v>21</v>
      </c>
      <c r="V2" s="34">
        <v>22</v>
      </c>
    </row>
    <row r="3" spans="1:22" ht="63" x14ac:dyDescent="0.25">
      <c r="A3" s="37">
        <v>1</v>
      </c>
      <c r="B3" s="38" t="s">
        <v>22</v>
      </c>
      <c r="C3" s="39" t="s">
        <v>23</v>
      </c>
      <c r="D3" s="40" t="s">
        <v>24</v>
      </c>
      <c r="E3" s="41" t="s">
        <v>25</v>
      </c>
      <c r="F3" s="42" t="s">
        <v>26</v>
      </c>
      <c r="G3" s="43" t="s">
        <v>27</v>
      </c>
      <c r="H3" s="34">
        <v>53</v>
      </c>
      <c r="I3" s="44" t="s">
        <v>28</v>
      </c>
      <c r="J3" s="34">
        <v>90</v>
      </c>
      <c r="K3" s="34">
        <v>21</v>
      </c>
      <c r="L3" s="34">
        <v>92</v>
      </c>
      <c r="M3" s="34">
        <v>32</v>
      </c>
      <c r="N3" s="34">
        <v>92</v>
      </c>
      <c r="O3" s="34">
        <v>18</v>
      </c>
      <c r="P3" s="34">
        <v>80</v>
      </c>
      <c r="Q3" s="34">
        <v>87</v>
      </c>
      <c r="R3" s="34">
        <v>90</v>
      </c>
      <c r="S3" s="44" t="s">
        <v>28</v>
      </c>
      <c r="T3" s="34">
        <v>87</v>
      </c>
      <c r="U3" s="45">
        <f t="shared" ref="U3:U8" si="0">(J3+L3+N3+P3+R3+T3)/6</f>
        <v>88.5</v>
      </c>
      <c r="V3" s="34" t="s">
        <v>29</v>
      </c>
    </row>
    <row r="4" spans="1:22" ht="47.25" x14ac:dyDescent="0.25">
      <c r="A4" s="37">
        <v>2</v>
      </c>
      <c r="B4" s="38" t="s">
        <v>30</v>
      </c>
      <c r="C4" s="39" t="s">
        <v>31</v>
      </c>
      <c r="D4" s="40" t="s">
        <v>32</v>
      </c>
      <c r="E4" s="41" t="s">
        <v>33</v>
      </c>
      <c r="F4" s="42" t="s">
        <v>26</v>
      </c>
      <c r="G4" s="43" t="s">
        <v>34</v>
      </c>
      <c r="H4" s="34">
        <v>50</v>
      </c>
      <c r="I4" s="44" t="s">
        <v>35</v>
      </c>
      <c r="J4" s="34">
        <v>84</v>
      </c>
      <c r="K4" s="34">
        <v>20</v>
      </c>
      <c r="L4" s="34">
        <v>90</v>
      </c>
      <c r="M4" s="34">
        <v>21</v>
      </c>
      <c r="N4" s="34">
        <v>87</v>
      </c>
      <c r="O4" s="34">
        <v>20</v>
      </c>
      <c r="P4" s="34">
        <v>87</v>
      </c>
      <c r="Q4" s="34">
        <v>91</v>
      </c>
      <c r="R4" s="34">
        <v>100</v>
      </c>
      <c r="S4" s="44" t="s">
        <v>36</v>
      </c>
      <c r="T4" s="34">
        <v>90</v>
      </c>
      <c r="U4" s="45">
        <f t="shared" si="0"/>
        <v>89.666666666666671</v>
      </c>
      <c r="V4" s="34">
        <v>1</v>
      </c>
    </row>
    <row r="5" spans="1:22" ht="63" x14ac:dyDescent="0.25">
      <c r="A5" s="37">
        <v>3</v>
      </c>
      <c r="B5" s="38" t="s">
        <v>37</v>
      </c>
      <c r="C5" s="39" t="s">
        <v>31</v>
      </c>
      <c r="D5" s="40" t="s">
        <v>32</v>
      </c>
      <c r="E5" s="41" t="s">
        <v>38</v>
      </c>
      <c r="F5" s="42" t="s">
        <v>26</v>
      </c>
      <c r="G5" s="43" t="s">
        <v>39</v>
      </c>
      <c r="H5" s="34">
        <v>28</v>
      </c>
      <c r="I5" s="44" t="s">
        <v>40</v>
      </c>
      <c r="J5" s="34">
        <v>75</v>
      </c>
      <c r="K5" s="34">
        <v>18</v>
      </c>
      <c r="L5" s="34">
        <v>87</v>
      </c>
      <c r="M5" s="34">
        <v>18</v>
      </c>
      <c r="N5" s="34">
        <v>91</v>
      </c>
      <c r="O5" s="34">
        <v>21</v>
      </c>
      <c r="P5" s="34">
        <v>89</v>
      </c>
      <c r="Q5" s="34">
        <v>90</v>
      </c>
      <c r="R5" s="34">
        <v>98</v>
      </c>
      <c r="S5" s="44" t="s">
        <v>40</v>
      </c>
      <c r="T5" s="43">
        <v>88</v>
      </c>
      <c r="U5" s="45">
        <f t="shared" si="0"/>
        <v>88</v>
      </c>
      <c r="V5" s="34">
        <v>2</v>
      </c>
    </row>
    <row r="6" spans="1:22" ht="31.5" x14ac:dyDescent="0.25">
      <c r="A6" s="37">
        <v>4</v>
      </c>
      <c r="B6" s="38" t="s">
        <v>41</v>
      </c>
      <c r="C6" s="39" t="s">
        <v>31</v>
      </c>
      <c r="D6" s="40" t="s">
        <v>42</v>
      </c>
      <c r="E6" s="41" t="s">
        <v>43</v>
      </c>
      <c r="F6" s="42" t="s">
        <v>44</v>
      </c>
      <c r="G6" s="43" t="s">
        <v>45</v>
      </c>
      <c r="H6" s="34">
        <v>42</v>
      </c>
      <c r="I6" s="44" t="s">
        <v>46</v>
      </c>
      <c r="J6" s="34">
        <v>70</v>
      </c>
      <c r="K6" s="34">
        <v>15</v>
      </c>
      <c r="L6" s="34">
        <v>89</v>
      </c>
      <c r="M6" s="43">
        <v>21</v>
      </c>
      <c r="N6" s="34">
        <v>90</v>
      </c>
      <c r="O6" s="34">
        <v>18</v>
      </c>
      <c r="P6" s="34">
        <v>79</v>
      </c>
      <c r="Q6" s="34">
        <v>87</v>
      </c>
      <c r="R6" s="34">
        <v>87</v>
      </c>
      <c r="S6" s="44" t="s">
        <v>47</v>
      </c>
      <c r="T6" s="34">
        <v>92</v>
      </c>
      <c r="U6" s="45">
        <f t="shared" si="0"/>
        <v>84.5</v>
      </c>
      <c r="V6" s="34">
        <v>3</v>
      </c>
    </row>
    <row r="7" spans="1:22" ht="47.25" x14ac:dyDescent="0.25">
      <c r="A7" s="37">
        <v>4.5999999999999996</v>
      </c>
      <c r="B7" s="38" t="s">
        <v>48</v>
      </c>
      <c r="C7" s="39" t="s">
        <v>31</v>
      </c>
      <c r="D7" s="40" t="s">
        <v>49</v>
      </c>
      <c r="E7" s="41" t="s">
        <v>50</v>
      </c>
      <c r="F7" s="42" t="s">
        <v>44</v>
      </c>
      <c r="G7" s="46" t="s">
        <v>51</v>
      </c>
      <c r="H7" s="47">
        <v>40</v>
      </c>
      <c r="I7" s="44" t="s">
        <v>36</v>
      </c>
      <c r="J7" s="34">
        <v>80</v>
      </c>
      <c r="K7" s="34">
        <v>20</v>
      </c>
      <c r="L7" s="34">
        <v>91</v>
      </c>
      <c r="M7" s="34">
        <v>20</v>
      </c>
      <c r="N7" s="34">
        <v>87</v>
      </c>
      <c r="O7" s="34">
        <v>23</v>
      </c>
      <c r="P7" s="34">
        <v>88</v>
      </c>
      <c r="Q7" s="34">
        <v>90</v>
      </c>
      <c r="R7" s="34">
        <v>98</v>
      </c>
      <c r="S7" s="44" t="s">
        <v>46</v>
      </c>
      <c r="T7" s="34">
        <v>90</v>
      </c>
      <c r="U7" s="45">
        <f t="shared" si="0"/>
        <v>89</v>
      </c>
      <c r="V7" s="48" t="s">
        <v>52</v>
      </c>
    </row>
    <row r="8" spans="1:22" ht="31.5" x14ac:dyDescent="0.25">
      <c r="A8" s="37">
        <v>5.68</v>
      </c>
      <c r="B8" s="38" t="s">
        <v>53</v>
      </c>
      <c r="C8" s="39" t="s">
        <v>31</v>
      </c>
      <c r="D8" s="40" t="s">
        <v>32</v>
      </c>
      <c r="E8" s="41" t="s">
        <v>54</v>
      </c>
      <c r="F8" s="42" t="s">
        <v>26</v>
      </c>
      <c r="G8" s="46" t="s">
        <v>55</v>
      </c>
      <c r="H8" s="47">
        <v>36</v>
      </c>
      <c r="I8" s="44" t="s">
        <v>47</v>
      </c>
      <c r="J8" s="43">
        <v>67</v>
      </c>
      <c r="K8" s="43">
        <v>21</v>
      </c>
      <c r="L8" s="43">
        <v>88</v>
      </c>
      <c r="M8" s="34">
        <v>15</v>
      </c>
      <c r="N8" s="43">
        <v>88</v>
      </c>
      <c r="O8" s="43">
        <v>30</v>
      </c>
      <c r="P8" s="43">
        <v>99</v>
      </c>
      <c r="Q8" s="43">
        <v>87</v>
      </c>
      <c r="R8" s="43">
        <v>89</v>
      </c>
      <c r="S8" s="44" t="s">
        <v>35</v>
      </c>
      <c r="T8" s="34">
        <v>87</v>
      </c>
      <c r="U8" s="45">
        <f t="shared" si="0"/>
        <v>86.333333333333329</v>
      </c>
      <c r="V8" s="54"/>
    </row>
    <row r="9" spans="1:22" ht="15.75" x14ac:dyDescent="0.25">
      <c r="A9" s="37">
        <v>6.6</v>
      </c>
      <c r="B9" s="38" t="s">
        <v>56</v>
      </c>
      <c r="C9" s="50" t="s">
        <v>57</v>
      </c>
      <c r="D9" s="51" t="s">
        <v>32</v>
      </c>
      <c r="E9" s="41" t="s">
        <v>58</v>
      </c>
      <c r="F9" s="42" t="s">
        <v>26</v>
      </c>
      <c r="G9" s="46" t="s">
        <v>59</v>
      </c>
      <c r="H9" s="47">
        <v>52</v>
      </c>
      <c r="I9" s="44" t="s">
        <v>28</v>
      </c>
      <c r="J9" s="34">
        <v>90</v>
      </c>
      <c r="K9" s="34">
        <v>21</v>
      </c>
      <c r="L9" s="34">
        <v>92</v>
      </c>
      <c r="M9" s="34">
        <v>32</v>
      </c>
      <c r="N9" s="34">
        <v>92</v>
      </c>
      <c r="O9" s="34">
        <v>18</v>
      </c>
      <c r="P9" s="34">
        <v>80</v>
      </c>
      <c r="Q9" s="34">
        <v>87</v>
      </c>
      <c r="R9" s="34">
        <v>90</v>
      </c>
      <c r="S9" s="44" t="s">
        <v>28</v>
      </c>
      <c r="T9" s="34">
        <v>87</v>
      </c>
      <c r="U9" s="45">
        <v>88.5</v>
      </c>
    </row>
    <row r="10" spans="1:22" ht="31.5" x14ac:dyDescent="0.25">
      <c r="A10" s="37">
        <v>7.52</v>
      </c>
      <c r="B10" s="38" t="s">
        <v>60</v>
      </c>
      <c r="C10" s="39" t="s">
        <v>57</v>
      </c>
      <c r="D10" s="52" t="s">
        <v>61</v>
      </c>
      <c r="E10" s="41" t="s">
        <v>62</v>
      </c>
      <c r="F10" s="42" t="s">
        <v>26</v>
      </c>
      <c r="G10" s="46" t="s">
        <v>63</v>
      </c>
      <c r="H10" s="47">
        <v>39</v>
      </c>
      <c r="I10" s="44" t="s">
        <v>40</v>
      </c>
      <c r="J10" s="34">
        <v>75</v>
      </c>
      <c r="K10" s="34">
        <v>18</v>
      </c>
      <c r="L10" s="34">
        <v>87</v>
      </c>
      <c r="M10" s="34">
        <v>18</v>
      </c>
      <c r="N10" s="34">
        <v>91</v>
      </c>
      <c r="O10" s="34">
        <v>21</v>
      </c>
      <c r="P10" s="34">
        <v>89</v>
      </c>
      <c r="Q10" s="34">
        <v>90</v>
      </c>
      <c r="R10" s="34">
        <v>98</v>
      </c>
      <c r="S10" s="44" t="s">
        <v>40</v>
      </c>
      <c r="T10" s="43">
        <v>88</v>
      </c>
      <c r="U10" s="45">
        <v>88</v>
      </c>
    </row>
    <row r="11" spans="1:22" ht="31.5" x14ac:dyDescent="0.25">
      <c r="A11" s="37">
        <v>8.44</v>
      </c>
      <c r="B11" s="38" t="s">
        <v>64</v>
      </c>
      <c r="C11" s="50" t="s">
        <v>57</v>
      </c>
      <c r="D11" s="40" t="s">
        <v>32</v>
      </c>
      <c r="E11" s="41" t="s">
        <v>65</v>
      </c>
      <c r="F11" s="42" t="s">
        <v>26</v>
      </c>
      <c r="G11" s="46" t="s">
        <v>66</v>
      </c>
      <c r="H11" s="47">
        <v>39</v>
      </c>
      <c r="I11" s="44" t="s">
        <v>36</v>
      </c>
      <c r="J11" s="34">
        <v>80</v>
      </c>
      <c r="K11" s="34">
        <v>20</v>
      </c>
      <c r="L11" s="34">
        <v>91</v>
      </c>
      <c r="M11" s="34">
        <v>20</v>
      </c>
      <c r="N11" s="34">
        <v>87</v>
      </c>
      <c r="O11" s="34">
        <v>23</v>
      </c>
      <c r="P11" s="34">
        <v>88</v>
      </c>
      <c r="Q11" s="34">
        <v>90</v>
      </c>
      <c r="R11" s="34">
        <v>98</v>
      </c>
      <c r="S11" s="44" t="s">
        <v>46</v>
      </c>
      <c r="T11" s="34">
        <v>90</v>
      </c>
      <c r="U11" s="45">
        <v>89</v>
      </c>
    </row>
    <row r="12" spans="1:22" ht="31.5" x14ac:dyDescent="0.25">
      <c r="A12" s="37">
        <v>9.36</v>
      </c>
      <c r="B12" s="38" t="s">
        <v>67</v>
      </c>
      <c r="C12" s="39" t="s">
        <v>57</v>
      </c>
      <c r="D12" s="52" t="s">
        <v>32</v>
      </c>
      <c r="E12" s="41" t="s">
        <v>68</v>
      </c>
      <c r="F12" s="42" t="s">
        <v>26</v>
      </c>
      <c r="G12" s="46" t="s">
        <v>69</v>
      </c>
      <c r="H12" s="47">
        <v>35</v>
      </c>
      <c r="I12" s="44" t="s">
        <v>28</v>
      </c>
      <c r="J12" s="34">
        <v>90</v>
      </c>
      <c r="K12" s="34">
        <v>21</v>
      </c>
      <c r="L12" s="34">
        <v>92</v>
      </c>
      <c r="M12" s="34">
        <v>32</v>
      </c>
      <c r="N12" s="34">
        <v>92</v>
      </c>
      <c r="O12" s="34">
        <v>18</v>
      </c>
      <c r="P12" s="34">
        <v>80</v>
      </c>
      <c r="Q12" s="34">
        <v>87</v>
      </c>
      <c r="R12" s="34">
        <v>90</v>
      </c>
      <c r="S12" s="44" t="s">
        <v>28</v>
      </c>
      <c r="T12" s="34">
        <v>87</v>
      </c>
      <c r="U12" s="45">
        <v>88.5</v>
      </c>
    </row>
    <row r="13" spans="1:22" ht="15.75" x14ac:dyDescent="0.25">
      <c r="A13" s="37">
        <v>10.28</v>
      </c>
      <c r="B13" s="38" t="s">
        <v>70</v>
      </c>
      <c r="C13" s="39" t="s">
        <v>57</v>
      </c>
      <c r="D13" s="40" t="s">
        <v>32</v>
      </c>
      <c r="E13" s="41" t="s">
        <v>71</v>
      </c>
      <c r="F13" s="42" t="s">
        <v>26</v>
      </c>
      <c r="G13" s="46" t="s">
        <v>72</v>
      </c>
      <c r="H13" s="47">
        <v>49</v>
      </c>
      <c r="I13" s="44" t="s">
        <v>73</v>
      </c>
      <c r="J13" s="37">
        <v>80.733333333333306</v>
      </c>
      <c r="K13" s="37">
        <v>20.133333333333301</v>
      </c>
      <c r="L13" s="37">
        <v>90.3333333333333</v>
      </c>
      <c r="M13" s="37">
        <v>23.6</v>
      </c>
      <c r="N13" s="37">
        <v>89.933333333333294</v>
      </c>
      <c r="O13" s="37">
        <v>21.933333333333302</v>
      </c>
      <c r="P13" s="37">
        <v>86.6</v>
      </c>
      <c r="Q13" s="37">
        <v>88.266666666666694</v>
      </c>
      <c r="R13" s="37">
        <v>93.3333333333333</v>
      </c>
      <c r="S13" s="44" t="s">
        <v>73</v>
      </c>
      <c r="T13" s="34">
        <v>88</v>
      </c>
      <c r="U13" s="45">
        <f t="shared" ref="U13:U18" si="1">(J13+L13+N13+P13+R13+T13)/6</f>
        <v>88.155555555555523</v>
      </c>
    </row>
    <row r="14" spans="1:22" ht="31.5" x14ac:dyDescent="0.25">
      <c r="A14" s="37">
        <v>11.2</v>
      </c>
      <c r="B14" s="38" t="s">
        <v>74</v>
      </c>
      <c r="C14" s="39" t="s">
        <v>57</v>
      </c>
      <c r="D14" s="40" t="s">
        <v>32</v>
      </c>
      <c r="E14" s="41" t="s">
        <v>75</v>
      </c>
      <c r="F14" s="42" t="s">
        <v>26</v>
      </c>
      <c r="G14" s="46" t="s">
        <v>76</v>
      </c>
      <c r="H14" s="47">
        <v>41</v>
      </c>
      <c r="I14" s="44" t="s">
        <v>77</v>
      </c>
      <c r="J14" s="37">
        <v>80.848484848484802</v>
      </c>
      <c r="K14" s="37">
        <v>20.2484848484848</v>
      </c>
      <c r="L14" s="37">
        <v>90.412121212121207</v>
      </c>
      <c r="M14" s="37">
        <v>23.727272727272702</v>
      </c>
      <c r="N14" s="37">
        <v>89.975757575757598</v>
      </c>
      <c r="O14" s="37">
        <v>22.103030303030302</v>
      </c>
      <c r="P14" s="37">
        <v>86.727272727272705</v>
      </c>
      <c r="Q14" s="37">
        <v>88.206060606060603</v>
      </c>
      <c r="R14" s="37">
        <v>93.248484848484793</v>
      </c>
      <c r="S14" s="44" t="s">
        <v>78</v>
      </c>
      <c r="T14" s="37">
        <v>87.890909090909105</v>
      </c>
      <c r="U14" s="45">
        <f t="shared" si="1"/>
        <v>88.183838383838363</v>
      </c>
    </row>
    <row r="15" spans="1:22" ht="31.5" x14ac:dyDescent="0.25">
      <c r="A15" s="37">
        <v>12.12</v>
      </c>
      <c r="B15" s="38" t="s">
        <v>79</v>
      </c>
      <c r="C15" s="39" t="s">
        <v>57</v>
      </c>
      <c r="D15" s="40" t="s">
        <v>61</v>
      </c>
      <c r="E15" s="41" t="s">
        <v>80</v>
      </c>
      <c r="F15" s="42" t="s">
        <v>26</v>
      </c>
      <c r="G15" s="46" t="s">
        <v>81</v>
      </c>
      <c r="H15" s="47">
        <v>54</v>
      </c>
      <c r="I15" s="44" t="s">
        <v>82</v>
      </c>
      <c r="J15" s="37">
        <v>80.963636363636297</v>
      </c>
      <c r="K15" s="37">
        <v>20.363636363636399</v>
      </c>
      <c r="L15" s="37">
        <v>90.490909090909099</v>
      </c>
      <c r="M15" s="37">
        <v>23.854545454545502</v>
      </c>
      <c r="N15" s="37">
        <v>90.018181818181802</v>
      </c>
      <c r="O15" s="37">
        <v>22.272727272727298</v>
      </c>
      <c r="P15" s="37">
        <v>86.854545454545502</v>
      </c>
      <c r="Q15" s="37">
        <v>88.145454545454498</v>
      </c>
      <c r="R15" s="37">
        <v>93.1636363636364</v>
      </c>
      <c r="S15" s="44" t="s">
        <v>82</v>
      </c>
      <c r="T15" s="53">
        <v>87.781818181818196</v>
      </c>
      <c r="U15" s="45">
        <f t="shared" si="1"/>
        <v>88.212121212121204</v>
      </c>
    </row>
    <row r="16" spans="1:22" ht="31.5" x14ac:dyDescent="0.25">
      <c r="A16" s="37">
        <v>13.04</v>
      </c>
      <c r="B16" s="38" t="s">
        <v>83</v>
      </c>
      <c r="C16" s="39" t="s">
        <v>57</v>
      </c>
      <c r="D16" s="40" t="s">
        <v>32</v>
      </c>
      <c r="E16" s="41" t="s">
        <v>84</v>
      </c>
      <c r="F16" s="42" t="s">
        <v>26</v>
      </c>
      <c r="G16" s="46" t="s">
        <v>85</v>
      </c>
      <c r="H16" s="47">
        <v>41</v>
      </c>
      <c r="I16" s="44" t="s">
        <v>86</v>
      </c>
      <c r="J16" s="37">
        <v>81.078787878787907</v>
      </c>
      <c r="K16" s="37">
        <v>20.478787878787902</v>
      </c>
      <c r="L16" s="37">
        <v>90.569696969697006</v>
      </c>
      <c r="M16" s="53">
        <v>23.981818181818198</v>
      </c>
      <c r="N16" s="37">
        <v>90.060606060606105</v>
      </c>
      <c r="O16" s="37">
        <v>22.442424242424199</v>
      </c>
      <c r="P16" s="37">
        <v>86.981818181818198</v>
      </c>
      <c r="Q16" s="37">
        <v>88.084848484848493</v>
      </c>
      <c r="R16" s="37">
        <v>93.078787878787907</v>
      </c>
      <c r="S16" s="44" t="s">
        <v>87</v>
      </c>
      <c r="T16" s="37">
        <v>87.6727272727273</v>
      </c>
      <c r="U16" s="45">
        <f t="shared" si="1"/>
        <v>88.240404040404073</v>
      </c>
    </row>
    <row r="17" spans="1:21" ht="31.5" x14ac:dyDescent="0.25">
      <c r="A17" s="37">
        <v>13.96</v>
      </c>
      <c r="B17" s="38" t="s">
        <v>88</v>
      </c>
      <c r="C17" s="39" t="s">
        <v>57</v>
      </c>
      <c r="D17" s="40" t="s">
        <v>61</v>
      </c>
      <c r="E17" s="41" t="s">
        <v>89</v>
      </c>
      <c r="F17" s="42" t="s">
        <v>26</v>
      </c>
      <c r="G17" s="46" t="s">
        <v>90</v>
      </c>
      <c r="H17" s="47">
        <v>51</v>
      </c>
      <c r="I17" s="44" t="s">
        <v>78</v>
      </c>
      <c r="J17" s="37">
        <v>81.193939393939402</v>
      </c>
      <c r="K17" s="37">
        <v>20.593939393939401</v>
      </c>
      <c r="L17" s="37">
        <v>90.648484848484799</v>
      </c>
      <c r="M17" s="37">
        <v>24.109090909090899</v>
      </c>
      <c r="N17" s="37">
        <v>90.103030303030295</v>
      </c>
      <c r="O17" s="37">
        <v>22.612121212121199</v>
      </c>
      <c r="P17" s="37">
        <v>87.109090909090895</v>
      </c>
      <c r="Q17" s="37">
        <v>88.024242424242402</v>
      </c>
      <c r="R17" s="37">
        <v>92.993939393939399</v>
      </c>
      <c r="S17" s="44" t="s">
        <v>86</v>
      </c>
      <c r="T17" s="37">
        <v>87.563636363636306</v>
      </c>
      <c r="U17" s="45">
        <f t="shared" si="1"/>
        <v>88.268686868686856</v>
      </c>
    </row>
    <row r="18" spans="1:21" ht="31.5" x14ac:dyDescent="0.25">
      <c r="A18" s="37">
        <v>14.88</v>
      </c>
      <c r="B18" s="38" t="s">
        <v>91</v>
      </c>
      <c r="C18" s="39" t="s">
        <v>57</v>
      </c>
      <c r="D18" s="40" t="s">
        <v>32</v>
      </c>
      <c r="E18" s="41" t="s">
        <v>92</v>
      </c>
      <c r="F18" s="42" t="s">
        <v>26</v>
      </c>
      <c r="G18" s="46" t="s">
        <v>93</v>
      </c>
      <c r="H18" s="47">
        <v>53</v>
      </c>
      <c r="I18" s="44" t="s">
        <v>87</v>
      </c>
      <c r="J18" s="53">
        <v>81.309090909090898</v>
      </c>
      <c r="K18" s="53">
        <v>20.7090909090909</v>
      </c>
      <c r="L18" s="53">
        <v>90.727272727272705</v>
      </c>
      <c r="M18" s="37">
        <v>24.236363636363599</v>
      </c>
      <c r="N18" s="53">
        <v>90.145454545454598</v>
      </c>
      <c r="O18" s="53">
        <v>22.781818181818199</v>
      </c>
      <c r="P18" s="53">
        <v>87.236363636363606</v>
      </c>
      <c r="Q18" s="53">
        <v>87.963636363636397</v>
      </c>
      <c r="R18" s="53">
        <v>92.909090909090907</v>
      </c>
      <c r="S18" s="44" t="s">
        <v>77</v>
      </c>
      <c r="T18" s="37">
        <v>87.454545454545396</v>
      </c>
      <c r="U18" s="45">
        <f t="shared" si="1"/>
        <v>88.296969696969668</v>
      </c>
    </row>
    <row r="19" spans="1:21" ht="31.5" x14ac:dyDescent="0.25">
      <c r="A19" s="37">
        <v>15.8</v>
      </c>
      <c r="B19" s="38" t="s">
        <v>94</v>
      </c>
      <c r="C19" s="39" t="s">
        <v>57</v>
      </c>
      <c r="D19" s="40" t="s">
        <v>32</v>
      </c>
      <c r="E19" s="41" t="s">
        <v>95</v>
      </c>
      <c r="F19" s="42" t="s">
        <v>26</v>
      </c>
      <c r="G19" s="46" t="s">
        <v>96</v>
      </c>
      <c r="H19" s="47">
        <v>54</v>
      </c>
      <c r="I19" s="44" t="s">
        <v>73</v>
      </c>
      <c r="J19" s="37">
        <v>81.424242424242394</v>
      </c>
      <c r="K19" s="37">
        <v>20.824242424242399</v>
      </c>
      <c r="L19" s="37">
        <v>90.806060606060598</v>
      </c>
      <c r="M19" s="37">
        <v>24.363636363636399</v>
      </c>
      <c r="N19" s="37">
        <v>90.187878787878802</v>
      </c>
      <c r="O19" s="37">
        <v>22.9515151515151</v>
      </c>
      <c r="P19" s="37">
        <v>87.363636363636402</v>
      </c>
      <c r="Q19" s="37">
        <v>87.903030303030306</v>
      </c>
      <c r="R19" s="37">
        <v>92.824242424242399</v>
      </c>
      <c r="S19" s="44" t="s">
        <v>73</v>
      </c>
      <c r="T19" s="37">
        <v>87.345454545454501</v>
      </c>
      <c r="U19" s="45">
        <v>88.75</v>
      </c>
    </row>
    <row r="20" spans="1:21" ht="15.75" x14ac:dyDescent="0.25">
      <c r="A20" s="37">
        <v>16.72</v>
      </c>
      <c r="B20" s="38" t="s">
        <v>97</v>
      </c>
      <c r="C20" s="39" t="s">
        <v>57</v>
      </c>
      <c r="D20" s="40" t="s">
        <v>32</v>
      </c>
      <c r="E20" s="41" t="s">
        <v>98</v>
      </c>
      <c r="F20" s="42" t="s">
        <v>26</v>
      </c>
      <c r="G20" s="46" t="s">
        <v>99</v>
      </c>
      <c r="H20" s="47">
        <v>49</v>
      </c>
      <c r="I20" s="44" t="s">
        <v>82</v>
      </c>
      <c r="J20" s="37">
        <v>81.539393939393904</v>
      </c>
      <c r="K20" s="37">
        <v>20.939393939393899</v>
      </c>
      <c r="L20" s="37">
        <v>90.884848484848504</v>
      </c>
      <c r="M20" s="37">
        <v>24.490909090909099</v>
      </c>
      <c r="N20" s="37">
        <v>90.230303030303006</v>
      </c>
      <c r="O20" s="37">
        <v>23.1212121212121</v>
      </c>
      <c r="P20" s="37">
        <v>87.490909090909099</v>
      </c>
      <c r="Q20" s="37">
        <v>87.842424242424201</v>
      </c>
      <c r="R20" s="37">
        <v>92.739393939393906</v>
      </c>
      <c r="S20" s="44" t="s">
        <v>82</v>
      </c>
      <c r="T20" s="53">
        <v>87.236363636363606</v>
      </c>
      <c r="U20" s="45">
        <v>88.85</v>
      </c>
    </row>
    <row r="21" spans="1:21" ht="31.5" x14ac:dyDescent="0.25">
      <c r="A21" s="37">
        <v>17.64</v>
      </c>
      <c r="B21" s="38" t="s">
        <v>100</v>
      </c>
      <c r="C21" s="39" t="s">
        <v>57</v>
      </c>
      <c r="D21" s="40" t="s">
        <v>61</v>
      </c>
      <c r="E21" s="41" t="s">
        <v>101</v>
      </c>
      <c r="F21" s="42" t="s">
        <v>26</v>
      </c>
      <c r="G21" s="46" t="s">
        <v>102</v>
      </c>
      <c r="H21" s="47">
        <v>52</v>
      </c>
      <c r="I21" s="44" t="s">
        <v>78</v>
      </c>
      <c r="J21" s="37">
        <v>81.654545454545399</v>
      </c>
      <c r="K21" s="37">
        <v>21.054545454545501</v>
      </c>
      <c r="L21" s="37">
        <v>90.963636363636397</v>
      </c>
      <c r="M21" s="37">
        <v>24.6181818181818</v>
      </c>
      <c r="N21" s="37">
        <v>90.272727272727295</v>
      </c>
      <c r="O21" s="37">
        <v>23.2909090909091</v>
      </c>
      <c r="P21" s="37">
        <v>87.618181818181796</v>
      </c>
      <c r="Q21" s="37">
        <v>87.781818181818196</v>
      </c>
      <c r="R21" s="37">
        <v>92.654545454545499</v>
      </c>
      <c r="S21" s="44" t="s">
        <v>86</v>
      </c>
      <c r="T21" s="37">
        <v>87.127272727272697</v>
      </c>
      <c r="U21" s="45">
        <v>88.95</v>
      </c>
    </row>
    <row r="22" spans="1:21" ht="47.25" x14ac:dyDescent="0.25">
      <c r="A22" s="37">
        <v>18.559999999999999</v>
      </c>
      <c r="B22" s="38" t="s">
        <v>103</v>
      </c>
      <c r="C22" s="39" t="s">
        <v>57</v>
      </c>
      <c r="D22" s="40" t="s">
        <v>32</v>
      </c>
      <c r="E22" s="41" t="s">
        <v>104</v>
      </c>
      <c r="F22" s="42" t="s">
        <v>26</v>
      </c>
      <c r="G22" s="46" t="s">
        <v>105</v>
      </c>
      <c r="H22" s="47">
        <v>51</v>
      </c>
      <c r="I22" s="44" t="s">
        <v>73</v>
      </c>
      <c r="J22" s="37">
        <v>81.769696969696994</v>
      </c>
      <c r="K22" s="37">
        <v>21.169696969697</v>
      </c>
      <c r="L22" s="37">
        <v>91.042424242424204</v>
      </c>
      <c r="M22" s="37">
        <v>24.7454545454545</v>
      </c>
      <c r="N22" s="37">
        <v>90.315151515151499</v>
      </c>
      <c r="O22" s="37">
        <v>23.4606060606061</v>
      </c>
      <c r="P22" s="37">
        <v>87.745454545454507</v>
      </c>
      <c r="Q22" s="37">
        <v>87.721212121212105</v>
      </c>
      <c r="R22" s="37">
        <v>92.569696969697006</v>
      </c>
      <c r="S22" s="44" t="s">
        <v>73</v>
      </c>
      <c r="T22" s="37">
        <v>87.018181818181802</v>
      </c>
      <c r="U22" s="45">
        <v>89.05</v>
      </c>
    </row>
    <row r="23" spans="1:21" ht="15.75" x14ac:dyDescent="0.25">
      <c r="A23" s="37">
        <v>19.48</v>
      </c>
      <c r="B23" s="38" t="s">
        <v>106</v>
      </c>
      <c r="C23" s="39" t="s">
        <v>57</v>
      </c>
      <c r="D23" s="40" t="s">
        <v>32</v>
      </c>
      <c r="E23" s="41" t="s">
        <v>107</v>
      </c>
      <c r="F23" s="42" t="s">
        <v>26</v>
      </c>
      <c r="G23" s="46" t="s">
        <v>108</v>
      </c>
      <c r="H23" s="47">
        <v>54</v>
      </c>
      <c r="I23" s="44" t="s">
        <v>109</v>
      </c>
      <c r="J23" s="37">
        <v>81.884848484848504</v>
      </c>
      <c r="K23" s="37">
        <v>21.284848484848499</v>
      </c>
      <c r="L23" s="37">
        <v>91.121212121212096</v>
      </c>
      <c r="M23" s="37">
        <v>24.8727272727273</v>
      </c>
      <c r="N23" s="37">
        <v>90.357575757575802</v>
      </c>
      <c r="O23" s="37">
        <v>23.630303030303001</v>
      </c>
      <c r="P23" s="37">
        <v>87.872727272727303</v>
      </c>
      <c r="Q23" s="37">
        <v>87.660606060606099</v>
      </c>
      <c r="R23" s="37">
        <v>92.484848484848499</v>
      </c>
      <c r="S23" s="44" t="s">
        <v>109</v>
      </c>
      <c r="T23" s="37">
        <v>86.909090909090907</v>
      </c>
      <c r="U23" s="45">
        <f t="shared" ref="U23:U28" si="2">(J23+L23+N23+P23+R23+T23)/6</f>
        <v>88.438383838383842</v>
      </c>
    </row>
    <row r="24" spans="1:21" ht="31.5" x14ac:dyDescent="0.25">
      <c r="A24" s="37">
        <v>20.399999999999999</v>
      </c>
      <c r="B24" s="38" t="s">
        <v>110</v>
      </c>
      <c r="C24" s="39" t="s">
        <v>57</v>
      </c>
      <c r="D24" s="40" t="s">
        <v>32</v>
      </c>
      <c r="E24" s="41">
        <v>636314</v>
      </c>
      <c r="F24" s="42" t="s">
        <v>26</v>
      </c>
      <c r="G24" s="46" t="s">
        <v>111</v>
      </c>
      <c r="H24" s="47">
        <v>49</v>
      </c>
      <c r="I24" s="44" t="s">
        <v>112</v>
      </c>
      <c r="J24" s="37">
        <v>82</v>
      </c>
      <c r="K24" s="37">
        <v>21.4</v>
      </c>
      <c r="L24" s="37">
        <v>91.2</v>
      </c>
      <c r="M24" s="37">
        <v>25</v>
      </c>
      <c r="N24" s="37">
        <v>90.4</v>
      </c>
      <c r="O24" s="37">
        <v>23.8</v>
      </c>
      <c r="P24" s="37">
        <v>88</v>
      </c>
      <c r="Q24" s="37">
        <v>87.6</v>
      </c>
      <c r="R24" s="37">
        <v>92.4</v>
      </c>
      <c r="S24" s="44" t="s">
        <v>113</v>
      </c>
      <c r="T24" s="37">
        <v>86.8</v>
      </c>
      <c r="U24" s="45">
        <f t="shared" si="2"/>
        <v>88.466666666666654</v>
      </c>
    </row>
    <row r="25" spans="1:21" ht="31.5" x14ac:dyDescent="0.25">
      <c r="A25" s="37">
        <v>21.32</v>
      </c>
      <c r="B25" s="38" t="s">
        <v>114</v>
      </c>
      <c r="C25" s="39" t="s">
        <v>57</v>
      </c>
      <c r="D25" s="40" t="s">
        <v>32</v>
      </c>
      <c r="E25" s="41" t="s">
        <v>115</v>
      </c>
      <c r="F25" s="42" t="s">
        <v>26</v>
      </c>
      <c r="G25" s="46" t="s">
        <v>116</v>
      </c>
      <c r="H25" s="47">
        <v>52</v>
      </c>
      <c r="I25" s="44" t="s">
        <v>117</v>
      </c>
      <c r="J25" s="37">
        <v>82.115151515151496</v>
      </c>
      <c r="K25" s="37">
        <v>21.515151515151501</v>
      </c>
      <c r="L25" s="37">
        <v>91.278787878787895</v>
      </c>
      <c r="M25" s="37">
        <v>25.1272727272727</v>
      </c>
      <c r="N25" s="37">
        <v>90.442424242424295</v>
      </c>
      <c r="O25" s="37">
        <v>23.969696969697001</v>
      </c>
      <c r="P25" s="37">
        <v>88.127272727272697</v>
      </c>
      <c r="Q25" s="37">
        <v>87.539393939393904</v>
      </c>
      <c r="R25" s="37">
        <v>92.315151515151499</v>
      </c>
      <c r="S25" s="44" t="s">
        <v>117</v>
      </c>
      <c r="T25" s="53">
        <v>86.690909090909102</v>
      </c>
      <c r="U25" s="45">
        <f t="shared" si="2"/>
        <v>88.494949494949495</v>
      </c>
    </row>
    <row r="26" spans="1:21" ht="15.75" x14ac:dyDescent="0.25">
      <c r="A26" s="37">
        <v>22.24</v>
      </c>
      <c r="B26" s="38" t="s">
        <v>118</v>
      </c>
      <c r="C26" s="39" t="s">
        <v>57</v>
      </c>
      <c r="D26" s="40" t="s">
        <v>32</v>
      </c>
      <c r="E26" s="41" t="s">
        <v>119</v>
      </c>
      <c r="F26" s="42" t="s">
        <v>26</v>
      </c>
      <c r="G26" s="46" t="s">
        <v>120</v>
      </c>
      <c r="H26" s="47">
        <v>41</v>
      </c>
      <c r="I26" s="44" t="s">
        <v>121</v>
      </c>
      <c r="J26" s="37">
        <v>82.230303030303006</v>
      </c>
      <c r="K26" s="37">
        <v>21.630303030303001</v>
      </c>
      <c r="L26" s="37">
        <v>91.357575757575802</v>
      </c>
      <c r="M26" s="53">
        <v>25.2545454545455</v>
      </c>
      <c r="N26" s="37">
        <v>90.484848484848499</v>
      </c>
      <c r="O26" s="37">
        <v>24.139393939393901</v>
      </c>
      <c r="P26" s="37">
        <v>88.254545454545493</v>
      </c>
      <c r="Q26" s="37">
        <v>87.478787878787898</v>
      </c>
      <c r="R26" s="37">
        <v>92.230303030303006</v>
      </c>
      <c r="S26" s="44" t="s">
        <v>122</v>
      </c>
      <c r="T26" s="37">
        <v>86.581818181818207</v>
      </c>
      <c r="U26" s="45">
        <f t="shared" si="2"/>
        <v>88.523232323232335</v>
      </c>
    </row>
    <row r="27" spans="1:21" ht="31.5" x14ac:dyDescent="0.25">
      <c r="A27" s="37">
        <v>23.16</v>
      </c>
      <c r="B27" s="38" t="s">
        <v>123</v>
      </c>
      <c r="C27" s="39" t="s">
        <v>57</v>
      </c>
      <c r="D27" s="40" t="s">
        <v>24</v>
      </c>
      <c r="E27" s="41" t="s">
        <v>124</v>
      </c>
      <c r="F27" s="42" t="s">
        <v>26</v>
      </c>
      <c r="G27" s="46" t="s">
        <v>125</v>
      </c>
      <c r="H27" s="47">
        <v>49</v>
      </c>
      <c r="I27" s="44" t="s">
        <v>113</v>
      </c>
      <c r="J27" s="37">
        <v>82.345454545454501</v>
      </c>
      <c r="K27" s="37">
        <v>21.7454545454545</v>
      </c>
      <c r="L27" s="37">
        <v>91.436363636363595</v>
      </c>
      <c r="M27" s="37">
        <v>25.3818181818182</v>
      </c>
      <c r="N27" s="37">
        <v>90.527272727272702</v>
      </c>
      <c r="O27" s="37">
        <v>24.309090909090902</v>
      </c>
      <c r="P27" s="37">
        <v>88.381818181818204</v>
      </c>
      <c r="Q27" s="37">
        <v>87.418181818181793</v>
      </c>
      <c r="R27" s="37">
        <v>92.145454545454598</v>
      </c>
      <c r="S27" s="44" t="s">
        <v>121</v>
      </c>
      <c r="T27" s="37">
        <v>86.472727272727298</v>
      </c>
      <c r="U27" s="45">
        <f t="shared" si="2"/>
        <v>88.551515151515147</v>
      </c>
    </row>
    <row r="28" spans="1:21" ht="31.5" x14ac:dyDescent="0.25">
      <c r="A28" s="37">
        <v>24.08</v>
      </c>
      <c r="B28" s="38" t="s">
        <v>126</v>
      </c>
      <c r="C28" s="39" t="s">
        <v>57</v>
      </c>
      <c r="D28" s="40" t="s">
        <v>61</v>
      </c>
      <c r="E28" s="41" t="s">
        <v>127</v>
      </c>
      <c r="F28" s="42" t="s">
        <v>26</v>
      </c>
      <c r="G28" s="46" t="s">
        <v>128</v>
      </c>
      <c r="H28" s="47">
        <v>48</v>
      </c>
      <c r="I28" s="44" t="s">
        <v>122</v>
      </c>
      <c r="J28" s="53">
        <v>82.460606060605997</v>
      </c>
      <c r="K28" s="53">
        <v>21.860606060606099</v>
      </c>
      <c r="L28" s="53">
        <v>91.515151515151501</v>
      </c>
      <c r="M28" s="37">
        <v>25.509090909090901</v>
      </c>
      <c r="N28" s="53">
        <v>90.569696969697006</v>
      </c>
      <c r="O28" s="53">
        <v>24.478787878787902</v>
      </c>
      <c r="P28" s="53">
        <v>88.509090909090901</v>
      </c>
      <c r="Q28" s="53">
        <v>87.357575757575702</v>
      </c>
      <c r="R28" s="53">
        <v>92.060606060606105</v>
      </c>
      <c r="S28" s="44" t="s">
        <v>112</v>
      </c>
      <c r="T28" s="37">
        <v>86.363636363636303</v>
      </c>
      <c r="U28" s="45">
        <f t="shared" si="2"/>
        <v>88.579797979797959</v>
      </c>
    </row>
    <row r="29" spans="1:21" ht="31.5" x14ac:dyDescent="0.25">
      <c r="A29" s="37">
        <v>25</v>
      </c>
      <c r="B29" s="38" t="s">
        <v>129</v>
      </c>
      <c r="C29" s="39" t="s">
        <v>57</v>
      </c>
      <c r="D29" s="40" t="s">
        <v>32</v>
      </c>
      <c r="E29" s="41" t="s">
        <v>130</v>
      </c>
      <c r="F29" s="42" t="s">
        <v>26</v>
      </c>
      <c r="G29" s="46" t="s">
        <v>131</v>
      </c>
      <c r="H29" s="47">
        <v>51</v>
      </c>
      <c r="I29" s="44" t="s">
        <v>109</v>
      </c>
      <c r="J29" s="37">
        <v>82.575757575757606</v>
      </c>
      <c r="K29" s="37">
        <v>21.975757575757601</v>
      </c>
      <c r="L29" s="37">
        <v>91.593939393939394</v>
      </c>
      <c r="M29" s="37">
        <v>25.636363636363601</v>
      </c>
      <c r="N29" s="37">
        <v>90.612121212121195</v>
      </c>
      <c r="O29" s="37">
        <v>24.648484848484799</v>
      </c>
      <c r="P29" s="37">
        <v>88.636363636363598</v>
      </c>
      <c r="Q29" s="37">
        <v>87.296969696969697</v>
      </c>
      <c r="R29" s="37">
        <v>91.975757575757598</v>
      </c>
      <c r="S29" s="44" t="s">
        <v>109</v>
      </c>
      <c r="T29" s="37">
        <v>86.254545454545394</v>
      </c>
      <c r="U29" s="45">
        <v>89.15</v>
      </c>
    </row>
    <row r="30" spans="1:21" ht="31.5" x14ac:dyDescent="0.25">
      <c r="A30" s="37">
        <v>25.92</v>
      </c>
      <c r="B30" s="38" t="s">
        <v>132</v>
      </c>
      <c r="C30" s="39" t="s">
        <v>57</v>
      </c>
      <c r="D30" s="40" t="s">
        <v>32</v>
      </c>
      <c r="E30" s="41" t="s">
        <v>133</v>
      </c>
      <c r="F30" s="42" t="s">
        <v>26</v>
      </c>
      <c r="G30" s="46" t="s">
        <v>134</v>
      </c>
      <c r="H30" s="47">
        <v>53</v>
      </c>
      <c r="I30" s="44" t="s">
        <v>117</v>
      </c>
      <c r="J30" s="37">
        <v>82.690909090909102</v>
      </c>
      <c r="K30" s="37">
        <v>22.090909090909101</v>
      </c>
      <c r="L30" s="37">
        <v>91.6727272727273</v>
      </c>
      <c r="M30" s="37">
        <v>25.763636363636401</v>
      </c>
      <c r="N30" s="37">
        <v>90.654545454545499</v>
      </c>
      <c r="O30" s="37">
        <v>24.818181818181799</v>
      </c>
      <c r="P30" s="37">
        <v>88.763636363636394</v>
      </c>
      <c r="Q30" s="37">
        <v>87.236363636363606</v>
      </c>
      <c r="R30" s="37">
        <v>91.890909090909105</v>
      </c>
      <c r="S30" s="44" t="s">
        <v>117</v>
      </c>
      <c r="T30" s="53">
        <v>86.145454545454498</v>
      </c>
      <c r="U30" s="45">
        <v>89.25</v>
      </c>
    </row>
    <row r="31" spans="1:21" ht="15.75" x14ac:dyDescent="0.25">
      <c r="A31" s="37">
        <v>26.84</v>
      </c>
      <c r="B31" s="38" t="s">
        <v>135</v>
      </c>
      <c r="C31" s="39" t="s">
        <v>57</v>
      </c>
      <c r="D31" s="40" t="s">
        <v>32</v>
      </c>
      <c r="E31" s="41" t="s">
        <v>136</v>
      </c>
      <c r="F31" s="42" t="s">
        <v>26</v>
      </c>
      <c r="G31" s="46" t="s">
        <v>137</v>
      </c>
      <c r="H31" s="47">
        <v>53</v>
      </c>
      <c r="I31" s="44" t="s">
        <v>113</v>
      </c>
      <c r="J31" s="37">
        <v>82.806060606060598</v>
      </c>
      <c r="K31" s="37">
        <v>22.2060606060606</v>
      </c>
      <c r="L31" s="37">
        <v>91.751515151515207</v>
      </c>
      <c r="M31" s="37">
        <v>25.890909090909101</v>
      </c>
      <c r="N31" s="37">
        <v>90.696969696969703</v>
      </c>
      <c r="O31" s="37">
        <v>24.987878787878799</v>
      </c>
      <c r="P31" s="37">
        <v>88.890909090909105</v>
      </c>
      <c r="Q31" s="37">
        <v>87.175757575757601</v>
      </c>
      <c r="R31" s="37">
        <v>91.806060606060598</v>
      </c>
      <c r="S31" s="44" t="s">
        <v>121</v>
      </c>
      <c r="T31" s="37">
        <v>86.036363636363603</v>
      </c>
      <c r="U31" s="45">
        <v>89.35</v>
      </c>
    </row>
    <row r="32" spans="1:21" ht="31.5" x14ac:dyDescent="0.25">
      <c r="A32" s="37">
        <v>27.76</v>
      </c>
      <c r="B32" s="38" t="s">
        <v>138</v>
      </c>
      <c r="C32" s="39" t="s">
        <v>57</v>
      </c>
      <c r="D32" s="40" t="s">
        <v>32</v>
      </c>
      <c r="E32" s="41" t="s">
        <v>139</v>
      </c>
      <c r="F32" s="42" t="s">
        <v>26</v>
      </c>
      <c r="G32" s="46" t="s">
        <v>140</v>
      </c>
      <c r="H32" s="47">
        <v>42</v>
      </c>
      <c r="I32" s="44" t="s">
        <v>109</v>
      </c>
      <c r="J32" s="37">
        <v>82.921212121212093</v>
      </c>
      <c r="K32" s="37">
        <v>22.321212121212099</v>
      </c>
      <c r="L32" s="37">
        <v>91.830303030303</v>
      </c>
      <c r="M32" s="37">
        <v>26.018181818181802</v>
      </c>
      <c r="N32" s="37">
        <v>90.739393939393906</v>
      </c>
      <c r="O32" s="37">
        <v>25.157575757575799</v>
      </c>
      <c r="P32" s="37">
        <v>89.018181818181802</v>
      </c>
      <c r="Q32" s="37">
        <v>87.115151515151496</v>
      </c>
      <c r="R32" s="37">
        <v>91.721212121212105</v>
      </c>
      <c r="S32" s="44" t="s">
        <v>109</v>
      </c>
      <c r="T32" s="37">
        <v>85.927272727272694</v>
      </c>
      <c r="U32" s="45">
        <v>89.45</v>
      </c>
    </row>
    <row r="33" spans="1:21" ht="31.5" x14ac:dyDescent="0.25">
      <c r="A33" s="37">
        <v>28.68</v>
      </c>
      <c r="B33" s="38" t="s">
        <v>141</v>
      </c>
      <c r="C33" s="39" t="s">
        <v>57</v>
      </c>
      <c r="D33" s="40" t="s">
        <v>142</v>
      </c>
      <c r="E33" s="41" t="s">
        <v>143</v>
      </c>
      <c r="F33" s="42" t="s">
        <v>44</v>
      </c>
      <c r="G33" s="46" t="s">
        <v>144</v>
      </c>
      <c r="H33" s="47">
        <v>54</v>
      </c>
      <c r="I33" s="44" t="s">
        <v>145</v>
      </c>
      <c r="J33" s="37">
        <v>83.036363636363603</v>
      </c>
      <c r="K33" s="37">
        <v>22.436363636363598</v>
      </c>
      <c r="L33" s="37">
        <v>91.909090909090907</v>
      </c>
      <c r="M33" s="37">
        <v>26.145454545454498</v>
      </c>
      <c r="N33" s="37">
        <v>90.781818181818196</v>
      </c>
      <c r="O33" s="37">
        <v>25.3272727272727</v>
      </c>
      <c r="P33" s="37">
        <v>89.145454545454598</v>
      </c>
      <c r="Q33" s="37">
        <v>87.054545454545405</v>
      </c>
      <c r="R33" s="37">
        <v>91.636363636363598</v>
      </c>
      <c r="S33" s="44" t="s">
        <v>145</v>
      </c>
      <c r="T33" s="37">
        <v>85.818181818181799</v>
      </c>
      <c r="U33" s="45">
        <f t="shared" ref="U33:U38" si="3">(J33+L33+N33+P33+R33+T33)/6</f>
        <v>88.721212121212105</v>
      </c>
    </row>
    <row r="34" spans="1:21" ht="15.75" x14ac:dyDescent="0.25">
      <c r="A34" s="37">
        <v>29.6</v>
      </c>
      <c r="B34" s="38" t="s">
        <v>146</v>
      </c>
      <c r="C34" s="39" t="s">
        <v>147</v>
      </c>
      <c r="D34" s="40" t="s">
        <v>32</v>
      </c>
      <c r="E34" s="41" t="s">
        <v>148</v>
      </c>
      <c r="F34" s="42" t="s">
        <v>26</v>
      </c>
      <c r="G34" s="46" t="s">
        <v>149</v>
      </c>
      <c r="H34" s="47">
        <v>52</v>
      </c>
      <c r="I34" s="44" t="s">
        <v>150</v>
      </c>
      <c r="J34" s="37">
        <v>83.151515151515099</v>
      </c>
      <c r="K34" s="37">
        <v>22.551515151515201</v>
      </c>
      <c r="L34" s="37">
        <v>91.987878787878799</v>
      </c>
      <c r="M34" s="37">
        <v>26.272727272727298</v>
      </c>
      <c r="N34" s="37">
        <v>90.824242424242399</v>
      </c>
      <c r="O34" s="37">
        <v>25.4969696969697</v>
      </c>
      <c r="P34" s="37">
        <v>89.272727272727295</v>
      </c>
      <c r="Q34" s="37">
        <v>86.993939393939399</v>
      </c>
      <c r="R34" s="37">
        <v>91.551515151515204</v>
      </c>
      <c r="S34" s="44" t="s">
        <v>151</v>
      </c>
      <c r="T34" s="37">
        <v>85.709090909090904</v>
      </c>
      <c r="U34" s="45">
        <f t="shared" si="3"/>
        <v>88.749494949494945</v>
      </c>
    </row>
    <row r="35" spans="1:21" ht="15.75" x14ac:dyDescent="0.25">
      <c r="A35" s="37">
        <v>30.52</v>
      </c>
      <c r="B35" s="38" t="s">
        <v>152</v>
      </c>
      <c r="C35" s="39" t="s">
        <v>57</v>
      </c>
      <c r="D35" s="40" t="s">
        <v>24</v>
      </c>
      <c r="E35" s="41" t="s">
        <v>153</v>
      </c>
      <c r="F35" s="42" t="s">
        <v>26</v>
      </c>
      <c r="G35" s="46" t="s">
        <v>154</v>
      </c>
      <c r="H35" s="47">
        <v>54</v>
      </c>
      <c r="I35" s="44" t="s">
        <v>155</v>
      </c>
      <c r="J35" s="37">
        <v>83.266666666666694</v>
      </c>
      <c r="K35" s="37">
        <v>22.6666666666667</v>
      </c>
      <c r="L35" s="37">
        <v>92.066666666666706</v>
      </c>
      <c r="M35" s="37">
        <v>26.4</v>
      </c>
      <c r="N35" s="37">
        <v>90.866666666666703</v>
      </c>
      <c r="O35" s="37">
        <v>25.6666666666667</v>
      </c>
      <c r="P35" s="37">
        <v>89.4</v>
      </c>
      <c r="Q35" s="37">
        <v>86.933333333333294</v>
      </c>
      <c r="R35" s="37">
        <v>91.466666666666697</v>
      </c>
      <c r="S35" s="44" t="s">
        <v>155</v>
      </c>
      <c r="T35" s="53">
        <v>85.6</v>
      </c>
      <c r="U35" s="45">
        <f t="shared" si="3"/>
        <v>88.777777777777814</v>
      </c>
    </row>
    <row r="36" spans="1:21" ht="15.75" x14ac:dyDescent="0.25">
      <c r="A36" s="37">
        <v>31.44</v>
      </c>
      <c r="B36" s="38" t="s">
        <v>156</v>
      </c>
      <c r="C36" s="39" t="s">
        <v>57</v>
      </c>
      <c r="D36" s="40" t="s">
        <v>32</v>
      </c>
      <c r="E36" s="41" t="s">
        <v>157</v>
      </c>
      <c r="F36" s="42" t="s">
        <v>26</v>
      </c>
      <c r="G36" s="46" t="s">
        <v>158</v>
      </c>
      <c r="H36" s="47">
        <v>48</v>
      </c>
      <c r="I36" s="44" t="s">
        <v>159</v>
      </c>
      <c r="J36" s="37">
        <v>83.381818181818204</v>
      </c>
      <c r="K36" s="37">
        <v>22.781818181818199</v>
      </c>
      <c r="L36" s="37">
        <v>92.145454545454498</v>
      </c>
      <c r="M36" s="53">
        <v>26.527272727272699</v>
      </c>
      <c r="N36" s="37">
        <v>90.909090909090907</v>
      </c>
      <c r="O36" s="37">
        <v>25.8363636363636</v>
      </c>
      <c r="P36" s="37">
        <v>89.527272727272702</v>
      </c>
      <c r="Q36" s="37">
        <v>86.872727272727303</v>
      </c>
      <c r="R36" s="37">
        <v>91.381818181818204</v>
      </c>
      <c r="S36" s="44" t="s">
        <v>160</v>
      </c>
      <c r="T36" s="37">
        <v>85.490909090909099</v>
      </c>
      <c r="U36" s="45">
        <f t="shared" si="3"/>
        <v>88.806060606060598</v>
      </c>
    </row>
    <row r="37" spans="1:21" ht="15.75" x14ac:dyDescent="0.25">
      <c r="A37" s="37">
        <v>32.36</v>
      </c>
      <c r="B37" s="38" t="s">
        <v>161</v>
      </c>
      <c r="C37" s="39" t="s">
        <v>57</v>
      </c>
      <c r="D37" s="40" t="s">
        <v>32</v>
      </c>
      <c r="E37" s="41" t="s">
        <v>162</v>
      </c>
      <c r="F37" s="42" t="s">
        <v>26</v>
      </c>
      <c r="G37" s="46" t="s">
        <v>163</v>
      </c>
      <c r="H37" s="47">
        <v>43</v>
      </c>
      <c r="I37" s="44" t="s">
        <v>151</v>
      </c>
      <c r="J37" s="37">
        <v>83.4969696969697</v>
      </c>
      <c r="K37" s="37">
        <v>22.896969696969698</v>
      </c>
      <c r="L37" s="37">
        <v>92.224242424242405</v>
      </c>
      <c r="M37" s="37">
        <v>26.654545454545499</v>
      </c>
      <c r="N37" s="37">
        <v>90.951515151515196</v>
      </c>
      <c r="O37" s="37">
        <v>26.006060606060601</v>
      </c>
      <c r="P37" s="37">
        <v>89.654545454545499</v>
      </c>
      <c r="Q37" s="37">
        <v>86.812121212121198</v>
      </c>
      <c r="R37" s="37">
        <v>91.296969696969697</v>
      </c>
      <c r="S37" s="44" t="s">
        <v>159</v>
      </c>
      <c r="T37" s="37">
        <v>85.381818181818204</v>
      </c>
      <c r="U37" s="45">
        <f t="shared" si="3"/>
        <v>88.834343434343452</v>
      </c>
    </row>
    <row r="38" spans="1:21" ht="31.5" x14ac:dyDescent="0.25">
      <c r="A38" s="37">
        <v>33.28</v>
      </c>
      <c r="B38" s="38" t="s">
        <v>164</v>
      </c>
      <c r="C38" s="39" t="s">
        <v>57</v>
      </c>
      <c r="D38" s="40" t="s">
        <v>42</v>
      </c>
      <c r="E38" s="41" t="s">
        <v>165</v>
      </c>
      <c r="F38" s="42" t="s">
        <v>26</v>
      </c>
      <c r="G38" s="46" t="s">
        <v>166</v>
      </c>
      <c r="H38" s="47">
        <v>44</v>
      </c>
      <c r="I38" s="44" t="s">
        <v>160</v>
      </c>
      <c r="J38" s="53">
        <v>83.612121212121195</v>
      </c>
      <c r="K38" s="53">
        <v>23.012121212121201</v>
      </c>
      <c r="L38" s="53">
        <v>92.303030303030297</v>
      </c>
      <c r="M38" s="37">
        <v>26.781818181818199</v>
      </c>
      <c r="N38" s="53">
        <v>90.993939393939399</v>
      </c>
      <c r="O38" s="53">
        <v>26.175757575757601</v>
      </c>
      <c r="P38" s="53">
        <v>89.781818181818196</v>
      </c>
      <c r="Q38" s="53">
        <v>86.751515151515093</v>
      </c>
      <c r="R38" s="53">
        <v>91.212121212121204</v>
      </c>
      <c r="S38" s="44" t="s">
        <v>150</v>
      </c>
      <c r="T38" s="37">
        <v>85.272727272727295</v>
      </c>
      <c r="U38" s="45">
        <f t="shared" si="3"/>
        <v>88.86262626262625</v>
      </c>
    </row>
    <row r="39" spans="1:21" ht="47.25" x14ac:dyDescent="0.25">
      <c r="A39" s="37">
        <v>34.200000000000003</v>
      </c>
      <c r="B39" s="38" t="s">
        <v>167</v>
      </c>
      <c r="C39" s="39" t="s">
        <v>147</v>
      </c>
      <c r="D39" s="40" t="s">
        <v>32</v>
      </c>
      <c r="E39" s="41" t="s">
        <v>168</v>
      </c>
      <c r="F39" s="42" t="s">
        <v>26</v>
      </c>
      <c r="G39" s="46" t="s">
        <v>169</v>
      </c>
      <c r="H39" s="47">
        <v>43</v>
      </c>
      <c r="I39" s="44" t="s">
        <v>145</v>
      </c>
      <c r="J39" s="37">
        <v>83.727272727272705</v>
      </c>
      <c r="K39" s="37">
        <v>23.1272727272727</v>
      </c>
      <c r="L39" s="37">
        <v>92.381818181818204</v>
      </c>
      <c r="M39" s="37">
        <v>26.909090909090899</v>
      </c>
      <c r="N39" s="37">
        <v>91.036363636363603</v>
      </c>
      <c r="O39" s="37">
        <v>26.345454545454501</v>
      </c>
      <c r="P39" s="37">
        <v>89.909090909090907</v>
      </c>
      <c r="Q39" s="37">
        <v>86.690909090909102</v>
      </c>
      <c r="R39" s="37">
        <v>91.127272727272697</v>
      </c>
      <c r="S39" s="44" t="s">
        <v>145</v>
      </c>
      <c r="T39" s="37">
        <v>85.1636363636363</v>
      </c>
      <c r="U39" s="45">
        <v>89.55</v>
      </c>
    </row>
    <row r="40" spans="1:21" ht="31.5" x14ac:dyDescent="0.25">
      <c r="A40" s="37">
        <v>35.119999999999997</v>
      </c>
      <c r="B40" s="38" t="s">
        <v>170</v>
      </c>
      <c r="C40" s="39" t="s">
        <v>171</v>
      </c>
      <c r="D40" s="40" t="s">
        <v>172</v>
      </c>
      <c r="E40" s="41" t="s">
        <v>75</v>
      </c>
      <c r="F40" s="42" t="s">
        <v>26</v>
      </c>
      <c r="G40" s="46" t="s">
        <v>173</v>
      </c>
      <c r="H40" s="47">
        <v>50</v>
      </c>
      <c r="I40" s="44" t="s">
        <v>155</v>
      </c>
      <c r="J40" s="37">
        <v>83.842424242424201</v>
      </c>
      <c r="K40" s="37">
        <v>23.2424242424242</v>
      </c>
      <c r="L40" s="37">
        <v>92.460606060606096</v>
      </c>
      <c r="M40" s="37">
        <v>27.0363636363636</v>
      </c>
      <c r="N40" s="37">
        <v>91.078787878787907</v>
      </c>
      <c r="O40" s="37">
        <v>26.515151515151501</v>
      </c>
      <c r="P40" s="37">
        <v>90.036363636363603</v>
      </c>
      <c r="Q40" s="37">
        <v>86.630303030302997</v>
      </c>
      <c r="R40" s="37">
        <v>91.042424242424204</v>
      </c>
      <c r="S40" s="44" t="s">
        <v>155</v>
      </c>
      <c r="T40" s="53">
        <v>85.054545454545405</v>
      </c>
      <c r="U40" s="45">
        <v>89.65</v>
      </c>
    </row>
    <row r="41" spans="1:21" ht="15.75" x14ac:dyDescent="0.25">
      <c r="A41" s="37">
        <v>36.04</v>
      </c>
      <c r="B41" s="54" t="s">
        <v>174</v>
      </c>
      <c r="C41" s="55" t="s">
        <v>175</v>
      </c>
      <c r="D41" s="40" t="s">
        <v>176</v>
      </c>
      <c r="E41" s="41" t="s">
        <v>177</v>
      </c>
      <c r="F41" s="42" t="s">
        <v>26</v>
      </c>
      <c r="G41" s="46" t="s">
        <v>178</v>
      </c>
      <c r="H41" s="47">
        <v>54</v>
      </c>
      <c r="I41" s="44" t="s">
        <v>151</v>
      </c>
      <c r="J41" s="37">
        <v>83.957575757575697</v>
      </c>
      <c r="K41" s="37">
        <v>23.357575757575798</v>
      </c>
      <c r="L41" s="37">
        <v>92.539393939393904</v>
      </c>
      <c r="M41" s="37">
        <v>27.1636363636364</v>
      </c>
      <c r="N41" s="37">
        <v>91.121212121212096</v>
      </c>
      <c r="O41" s="37">
        <v>26.684848484848501</v>
      </c>
      <c r="P41" s="37">
        <v>90.1636363636364</v>
      </c>
      <c r="Q41" s="37">
        <v>86.569696969697006</v>
      </c>
      <c r="R41" s="37">
        <v>90.957575757575796</v>
      </c>
      <c r="S41" s="44" t="s">
        <v>159</v>
      </c>
      <c r="T41" s="37">
        <v>84.945454545454496</v>
      </c>
      <c r="U41" s="45">
        <v>89.75</v>
      </c>
    </row>
    <row r="42" spans="1:21" ht="15.75" x14ac:dyDescent="0.25">
      <c r="A42" s="37">
        <v>36.96</v>
      </c>
      <c r="B42" s="54" t="s">
        <v>179</v>
      </c>
      <c r="C42" s="55" t="s">
        <v>175</v>
      </c>
      <c r="D42" s="54"/>
      <c r="E42" s="41">
        <v>606777</v>
      </c>
      <c r="F42" s="42" t="s">
        <v>44</v>
      </c>
      <c r="G42" s="46" t="s">
        <v>180</v>
      </c>
      <c r="H42" s="47">
        <v>41</v>
      </c>
      <c r="I42" s="44" t="s">
        <v>145</v>
      </c>
      <c r="J42" s="37">
        <v>84.072727272727207</v>
      </c>
      <c r="K42" s="37">
        <v>23.472727272727301</v>
      </c>
      <c r="L42" s="37">
        <v>92.618181818181796</v>
      </c>
      <c r="M42" s="37">
        <v>27.2909090909091</v>
      </c>
      <c r="N42" s="37">
        <v>91.1636363636364</v>
      </c>
      <c r="O42" s="37">
        <v>26.854545454545502</v>
      </c>
      <c r="P42" s="37">
        <v>90.290909090909096</v>
      </c>
      <c r="Q42" s="37">
        <v>86.509090909090901</v>
      </c>
      <c r="R42" s="37">
        <v>90.872727272727303</v>
      </c>
      <c r="S42" s="44" t="s">
        <v>145</v>
      </c>
      <c r="T42" s="37">
        <v>84.8363636363636</v>
      </c>
      <c r="U42" s="45">
        <v>89.85</v>
      </c>
    </row>
    <row r="43" spans="1:21" ht="15.75" x14ac:dyDescent="0.25">
      <c r="A43" s="37">
        <v>37.880000000000003</v>
      </c>
      <c r="B43" s="54" t="s">
        <v>181</v>
      </c>
      <c r="C43" s="55" t="s">
        <v>175</v>
      </c>
      <c r="E43" s="41">
        <v>637952</v>
      </c>
      <c r="F43" s="42" t="s">
        <v>44</v>
      </c>
      <c r="G43" s="46" t="s">
        <v>182</v>
      </c>
      <c r="H43" s="47">
        <v>36</v>
      </c>
      <c r="I43" s="44" t="s">
        <v>183</v>
      </c>
      <c r="J43" s="37">
        <v>84.187878787878802</v>
      </c>
      <c r="K43" s="37">
        <v>23.5878787878788</v>
      </c>
      <c r="L43" s="37">
        <v>92.696969696969703</v>
      </c>
      <c r="M43" s="37">
        <v>27.4181818181818</v>
      </c>
      <c r="N43" s="37">
        <v>91.206060606060603</v>
      </c>
      <c r="O43" s="37">
        <v>27.024242424242399</v>
      </c>
      <c r="P43" s="37">
        <v>90.418181818181793</v>
      </c>
      <c r="Q43" s="37">
        <v>86.448484848484796</v>
      </c>
      <c r="R43" s="37">
        <v>90.787878787878796</v>
      </c>
      <c r="S43" s="44" t="s">
        <v>183</v>
      </c>
      <c r="T43" s="37">
        <v>84.727272727272705</v>
      </c>
      <c r="U43" s="45">
        <f t="shared" ref="U43:U48" si="4">(J43+L43+N43+P43+R43+T43)/6</f>
        <v>89.004040404040396</v>
      </c>
    </row>
    <row r="44" spans="1:21" ht="15.75" x14ac:dyDescent="0.25">
      <c r="A44" s="37">
        <v>38.799999999999997</v>
      </c>
      <c r="B44" s="54" t="s">
        <v>184</v>
      </c>
      <c r="C44" s="55" t="s">
        <v>175</v>
      </c>
      <c r="E44" s="41" t="s">
        <v>185</v>
      </c>
      <c r="F44" s="42" t="s">
        <v>44</v>
      </c>
      <c r="G44" s="46" t="s">
        <v>186</v>
      </c>
      <c r="H44" s="47">
        <v>49</v>
      </c>
      <c r="I44" s="44" t="s">
        <v>187</v>
      </c>
      <c r="J44" s="37">
        <v>84.303030303030297</v>
      </c>
      <c r="K44" s="37">
        <v>23.7030303030303</v>
      </c>
      <c r="L44" s="37">
        <v>92.775757575757595</v>
      </c>
      <c r="M44" s="37">
        <v>27.545454545454501</v>
      </c>
      <c r="N44" s="37">
        <v>91.248484848484793</v>
      </c>
      <c r="O44" s="37">
        <v>27.193939393939399</v>
      </c>
      <c r="P44" s="37">
        <v>90.545454545454504</v>
      </c>
      <c r="Q44" s="37">
        <v>86.387878787878805</v>
      </c>
      <c r="R44" s="37">
        <v>90.703030303030303</v>
      </c>
      <c r="S44" s="44" t="s">
        <v>188</v>
      </c>
      <c r="T44" s="37">
        <v>84.618181818181796</v>
      </c>
      <c r="U44" s="45">
        <f t="shared" si="4"/>
        <v>89.032323232323208</v>
      </c>
    </row>
    <row r="45" spans="1:21" ht="15.75" x14ac:dyDescent="0.25">
      <c r="A45" s="37">
        <v>39.72</v>
      </c>
      <c r="B45" s="54" t="s">
        <v>189</v>
      </c>
      <c r="C45" s="39" t="s">
        <v>175</v>
      </c>
      <c r="E45" s="41" t="s">
        <v>190</v>
      </c>
      <c r="F45" s="42" t="s">
        <v>26</v>
      </c>
      <c r="G45" s="46" t="s">
        <v>191</v>
      </c>
      <c r="H45" s="47">
        <v>49</v>
      </c>
      <c r="I45" s="44" t="s">
        <v>192</v>
      </c>
      <c r="J45" s="37">
        <v>84.418181818181793</v>
      </c>
      <c r="K45" s="37">
        <v>23.818181818181799</v>
      </c>
      <c r="L45" s="37">
        <v>92.854545454545502</v>
      </c>
      <c r="M45" s="37">
        <v>27.6727272727273</v>
      </c>
      <c r="N45" s="37">
        <v>91.290909090909096</v>
      </c>
      <c r="O45" s="37">
        <v>27.363636363636399</v>
      </c>
      <c r="P45" s="37">
        <v>90.6727272727273</v>
      </c>
      <c r="Q45" s="37">
        <v>86.3272727272727</v>
      </c>
      <c r="R45" s="37">
        <v>90.618181818181796</v>
      </c>
      <c r="S45" s="44" t="s">
        <v>192</v>
      </c>
      <c r="T45" s="53">
        <v>84.509090909090901</v>
      </c>
      <c r="U45" s="45">
        <f t="shared" si="4"/>
        <v>89.060606060606062</v>
      </c>
    </row>
    <row r="46" spans="1:21" ht="15.75" x14ac:dyDescent="0.25">
      <c r="A46" s="37">
        <v>40.64</v>
      </c>
      <c r="B46" s="54" t="s">
        <v>193</v>
      </c>
      <c r="C46" s="39" t="s">
        <v>175</v>
      </c>
      <c r="E46" s="41" t="s">
        <v>194</v>
      </c>
      <c r="F46" s="42" t="s">
        <v>26</v>
      </c>
      <c r="G46" s="46" t="s">
        <v>195</v>
      </c>
      <c r="H46" s="47">
        <v>46</v>
      </c>
      <c r="I46" s="44" t="s">
        <v>196</v>
      </c>
      <c r="J46" s="37">
        <v>84.533333333333303</v>
      </c>
      <c r="K46" s="37">
        <v>23.933333333333302</v>
      </c>
      <c r="L46" s="37">
        <v>92.933333333333294</v>
      </c>
      <c r="M46" s="53">
        <v>27.8</v>
      </c>
      <c r="N46" s="37">
        <v>91.3333333333333</v>
      </c>
      <c r="O46" s="37">
        <v>27.533333333333299</v>
      </c>
      <c r="P46" s="37">
        <v>90.8</v>
      </c>
      <c r="Q46" s="37">
        <v>86.266666666666694</v>
      </c>
      <c r="R46" s="37">
        <v>90.533333333333303</v>
      </c>
      <c r="S46" s="44" t="s">
        <v>197</v>
      </c>
      <c r="T46" s="37">
        <v>84.4</v>
      </c>
      <c r="U46" s="45">
        <f t="shared" si="4"/>
        <v>89.08888888888886</v>
      </c>
    </row>
    <row r="47" spans="1:21" ht="15.75" x14ac:dyDescent="0.25">
      <c r="A47" s="37">
        <v>41.56</v>
      </c>
      <c r="B47" s="54" t="s">
        <v>198</v>
      </c>
      <c r="C47" s="55" t="s">
        <v>175</v>
      </c>
      <c r="E47" s="41">
        <v>599183</v>
      </c>
      <c r="F47" s="42" t="s">
        <v>26</v>
      </c>
      <c r="G47" s="46" t="s">
        <v>199</v>
      </c>
      <c r="H47" s="47">
        <v>49</v>
      </c>
      <c r="I47" s="44" t="s">
        <v>188</v>
      </c>
      <c r="J47" s="37">
        <v>84.648484848484799</v>
      </c>
      <c r="K47" s="37">
        <v>24.0484848484849</v>
      </c>
      <c r="L47" s="37">
        <v>93.012121212121201</v>
      </c>
      <c r="M47" s="37">
        <v>27.927272727272701</v>
      </c>
      <c r="N47" s="37">
        <v>91.375757575757603</v>
      </c>
      <c r="O47" s="37">
        <v>27.7030303030303</v>
      </c>
      <c r="P47" s="37">
        <v>90.927272727272694</v>
      </c>
      <c r="Q47" s="37">
        <v>86.206060606060603</v>
      </c>
      <c r="R47" s="37">
        <v>90.448484848484895</v>
      </c>
      <c r="S47" s="44" t="s">
        <v>196</v>
      </c>
      <c r="T47" s="37">
        <v>84.290909090909096</v>
      </c>
      <c r="U47" s="45">
        <f t="shared" si="4"/>
        <v>89.117171717171701</v>
      </c>
    </row>
    <row r="48" spans="1:21" ht="15.75" x14ac:dyDescent="0.25">
      <c r="A48" s="37">
        <v>42.48</v>
      </c>
      <c r="B48" s="54" t="s">
        <v>200</v>
      </c>
      <c r="C48" s="55" t="s">
        <v>175</v>
      </c>
      <c r="E48" s="41">
        <v>604672</v>
      </c>
      <c r="F48" s="42" t="s">
        <v>26</v>
      </c>
      <c r="G48" s="46" t="s">
        <v>201</v>
      </c>
      <c r="H48" s="47">
        <v>48</v>
      </c>
      <c r="I48" s="44" t="s">
        <v>197</v>
      </c>
      <c r="J48" s="53">
        <v>84.763636363636394</v>
      </c>
      <c r="K48" s="53">
        <v>24.1636363636364</v>
      </c>
      <c r="L48" s="53">
        <v>93.090909090909093</v>
      </c>
      <c r="M48" s="37">
        <v>28.054545454545501</v>
      </c>
      <c r="N48" s="53">
        <v>91.418181818181793</v>
      </c>
      <c r="O48" s="53">
        <v>27.8727272727273</v>
      </c>
      <c r="P48" s="53">
        <v>91.054545454545504</v>
      </c>
      <c r="Q48" s="53">
        <v>86.145454545454498</v>
      </c>
      <c r="R48" s="53">
        <v>90.363636363636402</v>
      </c>
      <c r="S48" s="44" t="s">
        <v>187</v>
      </c>
      <c r="T48" s="37">
        <v>84.181818181818201</v>
      </c>
      <c r="U48" s="45">
        <f t="shared" si="4"/>
        <v>89.145454545454569</v>
      </c>
    </row>
    <row r="49" spans="1:21" ht="15.75" x14ac:dyDescent="0.25">
      <c r="A49" s="37">
        <v>43.4</v>
      </c>
      <c r="B49" s="54" t="s">
        <v>202</v>
      </c>
      <c r="C49" s="55" t="s">
        <v>175</v>
      </c>
      <c r="E49" s="41" t="s">
        <v>203</v>
      </c>
      <c r="F49" s="42" t="s">
        <v>26</v>
      </c>
      <c r="G49" s="46" t="s">
        <v>204</v>
      </c>
      <c r="H49" s="47">
        <v>47</v>
      </c>
      <c r="I49" s="44" t="s">
        <v>183</v>
      </c>
      <c r="J49" s="37">
        <v>84.878787878787904</v>
      </c>
      <c r="K49" s="37">
        <v>24.278787878787899</v>
      </c>
      <c r="L49" s="37">
        <v>93.169696969697</v>
      </c>
      <c r="M49" s="37">
        <v>28.181818181818201</v>
      </c>
      <c r="N49" s="37">
        <v>91.460606060606096</v>
      </c>
      <c r="O49" s="37">
        <v>28.0424242424242</v>
      </c>
      <c r="P49" s="37">
        <v>91.181818181818201</v>
      </c>
      <c r="Q49" s="37">
        <v>86.084848484848493</v>
      </c>
      <c r="R49" s="37">
        <v>90.278787878787895</v>
      </c>
      <c r="S49" s="44" t="s">
        <v>183</v>
      </c>
      <c r="T49" s="37">
        <v>84.072727272727207</v>
      </c>
      <c r="U49" s="45">
        <v>89.95</v>
      </c>
    </row>
    <row r="50" spans="1:21" ht="15.75" x14ac:dyDescent="0.25">
      <c r="A50" s="37">
        <v>44.32</v>
      </c>
      <c r="B50" s="54" t="s">
        <v>205</v>
      </c>
      <c r="C50" s="55" t="s">
        <v>175</v>
      </c>
      <c r="E50" s="41">
        <v>579942</v>
      </c>
      <c r="F50" s="42" t="s">
        <v>26</v>
      </c>
      <c r="G50" s="46" t="s">
        <v>206</v>
      </c>
      <c r="H50" s="47">
        <v>50</v>
      </c>
      <c r="I50" s="44" t="s">
        <v>192</v>
      </c>
      <c r="J50" s="37">
        <v>84.993939393939399</v>
      </c>
      <c r="K50" s="37">
        <v>24.393939393939402</v>
      </c>
      <c r="L50" s="37">
        <v>93.248484848484793</v>
      </c>
      <c r="M50" s="37">
        <v>28.309090909090902</v>
      </c>
      <c r="N50" s="37">
        <v>91.5030303030303</v>
      </c>
      <c r="O50" s="37">
        <v>28.2121212121212</v>
      </c>
      <c r="P50" s="37">
        <v>91.309090909090898</v>
      </c>
      <c r="Q50" s="37">
        <v>86.024242424242402</v>
      </c>
      <c r="R50" s="37">
        <v>90.193939393939402</v>
      </c>
      <c r="S50" s="44" t="s">
        <v>192</v>
      </c>
      <c r="T50" s="53">
        <v>83.963636363636297</v>
      </c>
      <c r="U50" s="45">
        <v>90.05</v>
      </c>
    </row>
    <row r="51" spans="1:21" ht="15.75" x14ac:dyDescent="0.25">
      <c r="A51" s="37">
        <v>45.24</v>
      </c>
      <c r="B51" s="54" t="s">
        <v>207</v>
      </c>
      <c r="C51" s="39" t="s">
        <v>175</v>
      </c>
      <c r="E51" s="41" t="s">
        <v>208</v>
      </c>
      <c r="F51" s="42" t="s">
        <v>26</v>
      </c>
      <c r="G51" s="46" t="s">
        <v>209</v>
      </c>
      <c r="H51" s="47">
        <v>48</v>
      </c>
      <c r="I51" s="44" t="s">
        <v>188</v>
      </c>
      <c r="J51" s="37">
        <v>85.109090909090895</v>
      </c>
      <c r="K51" s="37">
        <v>24.509090909090901</v>
      </c>
      <c r="L51" s="37">
        <v>93.3272727272727</v>
      </c>
      <c r="M51" s="37">
        <v>28.436363636363598</v>
      </c>
      <c r="N51" s="37">
        <v>91.545454545454604</v>
      </c>
      <c r="O51" s="37">
        <v>28.3818181818182</v>
      </c>
      <c r="P51" s="37">
        <v>91.436363636363595</v>
      </c>
      <c r="Q51" s="37">
        <v>85.963636363636397</v>
      </c>
      <c r="R51" s="37">
        <v>90.109090909090895</v>
      </c>
      <c r="S51" s="44" t="s">
        <v>196</v>
      </c>
      <c r="T51" s="37">
        <v>83.854545454545402</v>
      </c>
      <c r="U51" s="45">
        <v>90.15</v>
      </c>
    </row>
    <row r="52" spans="1:21" ht="15.75" x14ac:dyDescent="0.25">
      <c r="A52" s="37">
        <v>46.16</v>
      </c>
      <c r="B52" s="54" t="s">
        <v>210</v>
      </c>
      <c r="C52" s="39" t="s">
        <v>175</v>
      </c>
      <c r="E52" s="41" t="s">
        <v>211</v>
      </c>
      <c r="F52" s="42" t="s">
        <v>26</v>
      </c>
      <c r="G52" s="46" t="s">
        <v>212</v>
      </c>
      <c r="H52" s="47">
        <v>50</v>
      </c>
      <c r="I52" s="44" t="s">
        <v>183</v>
      </c>
      <c r="J52" s="37">
        <v>85.224242424242405</v>
      </c>
      <c r="K52" s="37">
        <v>24.6242424242424</v>
      </c>
      <c r="L52" s="37">
        <v>93.406060606060606</v>
      </c>
      <c r="M52" s="37">
        <v>28.563636363636402</v>
      </c>
      <c r="N52" s="37">
        <v>91.587878787878793</v>
      </c>
      <c r="O52" s="37">
        <v>28.551515151515101</v>
      </c>
      <c r="P52" s="37">
        <v>91.563636363636405</v>
      </c>
      <c r="Q52" s="37">
        <v>85.903030303030306</v>
      </c>
      <c r="R52" s="37">
        <v>90.024242424242402</v>
      </c>
      <c r="S52" s="44" t="s">
        <v>183</v>
      </c>
      <c r="T52" s="37">
        <v>83.745454545454507</v>
      </c>
      <c r="U52" s="45">
        <v>90.25</v>
      </c>
    </row>
    <row r="53" spans="1:21" ht="15.75" x14ac:dyDescent="0.25">
      <c r="A53" s="37">
        <v>47.08</v>
      </c>
      <c r="B53" s="54" t="s">
        <v>213</v>
      </c>
      <c r="C53" s="39" t="s">
        <v>175</v>
      </c>
      <c r="E53" s="41">
        <v>606803</v>
      </c>
      <c r="F53" s="42" t="s">
        <v>26</v>
      </c>
      <c r="G53" s="46" t="s">
        <v>72</v>
      </c>
      <c r="H53" s="47">
        <v>49</v>
      </c>
      <c r="I53" s="44" t="s">
        <v>214</v>
      </c>
      <c r="J53" s="37">
        <v>85.339393939393901</v>
      </c>
      <c r="K53" s="37">
        <v>24.739393939393899</v>
      </c>
      <c r="L53" s="37">
        <v>93.484848484848499</v>
      </c>
      <c r="M53" s="37">
        <v>28.690909090909098</v>
      </c>
      <c r="N53" s="37">
        <v>91.630303030302997</v>
      </c>
      <c r="O53" s="37">
        <v>28.721212121212101</v>
      </c>
      <c r="P53" s="37">
        <v>91.690909090909102</v>
      </c>
      <c r="Q53" s="37">
        <v>85.842424242424201</v>
      </c>
      <c r="R53" s="37">
        <v>89.939393939393995</v>
      </c>
      <c r="S53" s="44" t="s">
        <v>214</v>
      </c>
      <c r="T53" s="37">
        <v>83.636363636363598</v>
      </c>
      <c r="U53" s="45">
        <f t="shared" ref="U53:U58" si="5">(J53+L53+N53+P53+R53+T53)/6</f>
        <v>89.286868686868672</v>
      </c>
    </row>
    <row r="54" spans="1:21" ht="15.75" x14ac:dyDescent="0.25">
      <c r="A54" s="37">
        <v>48</v>
      </c>
      <c r="B54" s="54" t="s">
        <v>215</v>
      </c>
      <c r="C54" s="39" t="s">
        <v>175</v>
      </c>
      <c r="E54" s="41">
        <v>567311</v>
      </c>
      <c r="F54" s="42" t="s">
        <v>26</v>
      </c>
      <c r="G54" s="46" t="s">
        <v>216</v>
      </c>
      <c r="H54" s="47">
        <v>50</v>
      </c>
      <c r="I54" s="44" t="s">
        <v>217</v>
      </c>
      <c r="J54" s="37">
        <v>85.454545454545396</v>
      </c>
      <c r="K54" s="37">
        <v>24.854545454545502</v>
      </c>
      <c r="L54" s="37">
        <v>93.563636363636405</v>
      </c>
      <c r="M54" s="37">
        <v>28.818181818181799</v>
      </c>
      <c r="N54" s="37">
        <v>91.6727272727273</v>
      </c>
      <c r="O54" s="37">
        <v>28.890909090909101</v>
      </c>
      <c r="P54" s="37">
        <v>91.818181818181799</v>
      </c>
      <c r="Q54" s="37">
        <v>85.781818181818196</v>
      </c>
      <c r="R54" s="37">
        <v>89.854545454545502</v>
      </c>
      <c r="S54" s="44" t="s">
        <v>218</v>
      </c>
      <c r="T54" s="37">
        <v>83.527272727272702</v>
      </c>
      <c r="U54" s="45">
        <f t="shared" si="5"/>
        <v>89.315151515151513</v>
      </c>
    </row>
    <row r="55" spans="1:21" ht="15.75" x14ac:dyDescent="0.25">
      <c r="A55" s="37">
        <v>48.92</v>
      </c>
      <c r="B55" s="54" t="s">
        <v>219</v>
      </c>
      <c r="C55" s="39" t="s">
        <v>175</v>
      </c>
      <c r="E55" s="41" t="s">
        <v>220</v>
      </c>
      <c r="F55" s="42" t="s">
        <v>26</v>
      </c>
      <c r="G55" s="46" t="s">
        <v>221</v>
      </c>
      <c r="H55" s="47">
        <v>50</v>
      </c>
      <c r="I55" s="44" t="s">
        <v>222</v>
      </c>
      <c r="J55" s="37">
        <v>85.569696969696906</v>
      </c>
      <c r="K55" s="37">
        <v>24.969696969697001</v>
      </c>
      <c r="L55" s="37">
        <v>93.642424242424198</v>
      </c>
      <c r="M55" s="37">
        <v>28.945454545454499</v>
      </c>
      <c r="N55" s="37">
        <v>91.715151515151504</v>
      </c>
      <c r="O55" s="37">
        <v>29.060606060606101</v>
      </c>
      <c r="P55" s="37">
        <v>91.945454545454595</v>
      </c>
      <c r="Q55" s="37">
        <v>85.721212121212105</v>
      </c>
      <c r="R55" s="37">
        <v>89.769696969696994</v>
      </c>
      <c r="S55" s="44" t="s">
        <v>222</v>
      </c>
      <c r="T55" s="53">
        <v>83.418181818181793</v>
      </c>
      <c r="U55" s="45">
        <f t="shared" si="5"/>
        <v>89.343434343434339</v>
      </c>
    </row>
    <row r="56" spans="1:21" ht="15.75" x14ac:dyDescent="0.25">
      <c r="A56" s="37">
        <v>49.84</v>
      </c>
      <c r="B56" s="54" t="s">
        <v>223</v>
      </c>
      <c r="C56" s="39" t="s">
        <v>175</v>
      </c>
      <c r="E56" s="41" t="s">
        <v>224</v>
      </c>
      <c r="F56" s="42" t="s">
        <v>26</v>
      </c>
      <c r="G56" s="46" t="s">
        <v>225</v>
      </c>
      <c r="H56" s="47">
        <v>50</v>
      </c>
      <c r="I56" s="44" t="s">
        <v>226</v>
      </c>
      <c r="J56" s="37">
        <v>85.684848484848501</v>
      </c>
      <c r="K56" s="37">
        <v>25.0848484848485</v>
      </c>
      <c r="L56" s="37">
        <v>93.721212121212105</v>
      </c>
      <c r="M56" s="53">
        <v>29.072727272727299</v>
      </c>
      <c r="N56" s="37">
        <v>91.757575757575793</v>
      </c>
      <c r="O56" s="37">
        <v>29.230303030302998</v>
      </c>
      <c r="P56" s="37">
        <v>92.072727272727306</v>
      </c>
      <c r="Q56" s="37">
        <v>85.660606060606099</v>
      </c>
      <c r="R56" s="37">
        <v>89.684848484848501</v>
      </c>
      <c r="S56" s="44" t="s">
        <v>227</v>
      </c>
      <c r="T56" s="37">
        <v>83.309090909090898</v>
      </c>
      <c r="U56" s="45">
        <f t="shared" si="5"/>
        <v>89.371717171717179</v>
      </c>
    </row>
    <row r="57" spans="1:21" ht="15.75" x14ac:dyDescent="0.25">
      <c r="A57" s="37">
        <v>50.76</v>
      </c>
      <c r="B57" s="54" t="s">
        <v>228</v>
      </c>
      <c r="C57" s="39" t="s">
        <v>175</v>
      </c>
      <c r="E57" s="41">
        <v>558049</v>
      </c>
      <c r="F57" s="42" t="s">
        <v>26</v>
      </c>
      <c r="G57" s="46" t="s">
        <v>229</v>
      </c>
      <c r="H57" s="47">
        <v>51</v>
      </c>
      <c r="I57" s="44" t="s">
        <v>218</v>
      </c>
      <c r="J57" s="37">
        <v>85.8</v>
      </c>
      <c r="K57" s="37">
        <v>25.2</v>
      </c>
      <c r="L57" s="37">
        <v>93.8</v>
      </c>
      <c r="M57" s="37">
        <v>29.2</v>
      </c>
      <c r="N57" s="37">
        <v>91.8</v>
      </c>
      <c r="O57" s="37">
        <v>29.4</v>
      </c>
      <c r="P57" s="37">
        <v>92.2</v>
      </c>
      <c r="Q57" s="37">
        <v>85.6</v>
      </c>
      <c r="R57" s="37">
        <v>89.6</v>
      </c>
      <c r="S57" s="44" t="s">
        <v>226</v>
      </c>
      <c r="T57" s="37">
        <v>83.2</v>
      </c>
      <c r="U57" s="45">
        <f t="shared" si="5"/>
        <v>89.399999999999991</v>
      </c>
    </row>
    <row r="58" spans="1:21" ht="15.75" x14ac:dyDescent="0.25">
      <c r="A58" s="37">
        <v>51.68</v>
      </c>
      <c r="B58" s="54" t="s">
        <v>230</v>
      </c>
      <c r="C58" s="55" t="s">
        <v>175</v>
      </c>
      <c r="E58" s="41">
        <v>605634</v>
      </c>
      <c r="F58" s="42" t="s">
        <v>26</v>
      </c>
      <c r="G58" s="46" t="s">
        <v>231</v>
      </c>
      <c r="H58" s="47">
        <v>48</v>
      </c>
      <c r="I58" s="44" t="s">
        <v>227</v>
      </c>
      <c r="J58" s="53">
        <v>85.915151515151507</v>
      </c>
      <c r="K58" s="53">
        <v>25.315151515151499</v>
      </c>
      <c r="L58" s="53">
        <v>93.878787878787904</v>
      </c>
      <c r="M58" s="37">
        <v>29.3272727272727</v>
      </c>
      <c r="N58" s="53">
        <v>91.8424242424243</v>
      </c>
      <c r="O58" s="53">
        <v>29.569696969696999</v>
      </c>
      <c r="P58" s="53">
        <v>92.3272727272727</v>
      </c>
      <c r="Q58" s="53">
        <v>85.539393939393904</v>
      </c>
      <c r="R58" s="53">
        <v>89.515151515151501</v>
      </c>
      <c r="S58" s="44" t="s">
        <v>217</v>
      </c>
      <c r="T58" s="37">
        <v>83.090909090909093</v>
      </c>
      <c r="U58" s="45">
        <f t="shared" si="5"/>
        <v>89.428282828282832</v>
      </c>
    </row>
    <row r="59" spans="1:21" ht="15.75" x14ac:dyDescent="0.25">
      <c r="A59" s="37">
        <v>52.6</v>
      </c>
      <c r="B59" s="54" t="s">
        <v>232</v>
      </c>
      <c r="C59" s="55" t="s">
        <v>175</v>
      </c>
      <c r="E59" s="41">
        <v>541597</v>
      </c>
      <c r="F59" s="42" t="s">
        <v>26</v>
      </c>
      <c r="G59" s="46" t="s">
        <v>233</v>
      </c>
      <c r="H59" s="47">
        <v>51</v>
      </c>
      <c r="I59" s="44" t="s">
        <v>214</v>
      </c>
      <c r="J59" s="37">
        <v>86.030303030303003</v>
      </c>
      <c r="K59" s="37">
        <v>25.430303030303001</v>
      </c>
      <c r="L59" s="37">
        <v>93.957575757575796</v>
      </c>
      <c r="M59" s="37">
        <v>29.454545454545499</v>
      </c>
      <c r="N59" s="37">
        <v>91.884848484848504</v>
      </c>
      <c r="O59" s="37">
        <v>29.739393939393899</v>
      </c>
      <c r="P59" s="37">
        <v>92.454545454545496</v>
      </c>
      <c r="Q59" s="37">
        <v>85.478787878787898</v>
      </c>
      <c r="R59" s="37">
        <v>89.430303030302994</v>
      </c>
      <c r="S59" s="44" t="s">
        <v>214</v>
      </c>
      <c r="T59" s="37">
        <v>82.981818181818198</v>
      </c>
      <c r="U59" s="45">
        <v>90.35</v>
      </c>
    </row>
    <row r="60" spans="1:21" ht="15.75" x14ac:dyDescent="0.25">
      <c r="A60" s="37">
        <v>53.52</v>
      </c>
      <c r="B60" s="54" t="s">
        <v>234</v>
      </c>
      <c r="C60" s="55" t="s">
        <v>175</v>
      </c>
      <c r="E60" s="41" t="s">
        <v>235</v>
      </c>
      <c r="F60" s="42" t="s">
        <v>26</v>
      </c>
      <c r="G60" s="46" t="s">
        <v>236</v>
      </c>
      <c r="H60" s="47">
        <v>50</v>
      </c>
      <c r="I60" s="44" t="s">
        <v>222</v>
      </c>
      <c r="J60" s="37">
        <v>86.145454545454498</v>
      </c>
      <c r="K60" s="37">
        <v>25.545454545454501</v>
      </c>
      <c r="L60" s="37">
        <v>94.036363636363603</v>
      </c>
      <c r="M60" s="37">
        <v>29.5818181818182</v>
      </c>
      <c r="N60" s="37">
        <v>91.927272727272694</v>
      </c>
      <c r="O60" s="37">
        <v>29.909090909090899</v>
      </c>
      <c r="P60" s="37">
        <v>92.581818181818207</v>
      </c>
      <c r="Q60" s="37">
        <v>85.418181818181793</v>
      </c>
      <c r="R60" s="37">
        <v>89.345454545454601</v>
      </c>
      <c r="S60" s="44" t="s">
        <v>222</v>
      </c>
      <c r="T60" s="53">
        <v>82.872727272727204</v>
      </c>
      <c r="U60" s="45">
        <v>90.45</v>
      </c>
    </row>
    <row r="61" spans="1:21" ht="15.75" x14ac:dyDescent="0.25">
      <c r="A61" s="37">
        <v>54.44</v>
      </c>
      <c r="B61" s="54" t="s">
        <v>237</v>
      </c>
      <c r="C61" s="39" t="s">
        <v>175</v>
      </c>
      <c r="E61" s="41">
        <v>558035</v>
      </c>
      <c r="F61" s="42" t="s">
        <v>26</v>
      </c>
      <c r="G61" s="46" t="s">
        <v>238</v>
      </c>
      <c r="H61" s="47">
        <v>49</v>
      </c>
      <c r="I61" s="44" t="s">
        <v>218</v>
      </c>
      <c r="J61" s="37">
        <v>86.260606060606094</v>
      </c>
      <c r="K61" s="37">
        <v>25.660606060606099</v>
      </c>
      <c r="L61" s="37">
        <v>94.115151515151496</v>
      </c>
      <c r="M61" s="37">
        <v>29.7090909090909</v>
      </c>
      <c r="N61" s="37">
        <v>91.969696969696997</v>
      </c>
      <c r="O61" s="37">
        <v>30.0787878787879</v>
      </c>
      <c r="P61" s="37">
        <v>92.709090909090904</v>
      </c>
      <c r="Q61" s="37">
        <v>85.357575757575702</v>
      </c>
      <c r="R61" s="37">
        <v>89.260606060606094</v>
      </c>
      <c r="S61" s="44" t="s">
        <v>226</v>
      </c>
      <c r="T61" s="37">
        <v>82.763636363636294</v>
      </c>
      <c r="U61" s="45">
        <v>90.55</v>
      </c>
    </row>
    <row r="62" spans="1:21" ht="15.75" x14ac:dyDescent="0.25">
      <c r="A62" s="37">
        <v>55.36</v>
      </c>
      <c r="B62" s="54" t="s">
        <v>239</v>
      </c>
      <c r="C62" s="39" t="s">
        <v>175</v>
      </c>
      <c r="E62" s="41">
        <v>605523</v>
      </c>
      <c r="F62" s="42" t="s">
        <v>26</v>
      </c>
      <c r="G62" s="46" t="s">
        <v>240</v>
      </c>
      <c r="H62" s="47">
        <v>51</v>
      </c>
      <c r="I62" s="44" t="s">
        <v>214</v>
      </c>
      <c r="J62" s="37">
        <v>86.375757575757603</v>
      </c>
      <c r="K62" s="37">
        <v>25.775757575757599</v>
      </c>
      <c r="L62" s="37">
        <v>94.193939393939402</v>
      </c>
      <c r="M62" s="37">
        <v>29.8363636363637</v>
      </c>
      <c r="N62" s="37">
        <v>92.012121212121201</v>
      </c>
      <c r="O62" s="37">
        <v>30.2484848484848</v>
      </c>
      <c r="P62" s="37">
        <v>92.8363636363636</v>
      </c>
      <c r="Q62" s="37">
        <v>85.296969696969697</v>
      </c>
      <c r="R62" s="37">
        <v>89.175757575757601</v>
      </c>
      <c r="S62" s="44" t="s">
        <v>214</v>
      </c>
      <c r="T62" s="37">
        <v>82.654545454545399</v>
      </c>
      <c r="U62" s="45">
        <v>90.65</v>
      </c>
    </row>
    <row r="63" spans="1:21" ht="15.75" x14ac:dyDescent="0.25">
      <c r="A63" s="37">
        <v>56.28</v>
      </c>
      <c r="B63" s="54" t="s">
        <v>241</v>
      </c>
      <c r="C63" s="39" t="s">
        <v>175</v>
      </c>
      <c r="E63" s="41">
        <v>604863</v>
      </c>
      <c r="F63" s="42" t="s">
        <v>26</v>
      </c>
      <c r="G63" s="46" t="s">
        <v>242</v>
      </c>
      <c r="H63" s="47">
        <v>49</v>
      </c>
      <c r="I63" s="44" t="s">
        <v>243</v>
      </c>
      <c r="J63" s="37">
        <v>86.490909090909099</v>
      </c>
      <c r="K63" s="37">
        <v>25.890909090909101</v>
      </c>
      <c r="L63" s="37">
        <v>94.272727272727295</v>
      </c>
      <c r="M63" s="37">
        <v>29.9636363636364</v>
      </c>
      <c r="N63" s="37">
        <v>92.054545454545504</v>
      </c>
      <c r="O63" s="37">
        <v>30.4181818181818</v>
      </c>
      <c r="P63" s="37">
        <v>92.963636363636397</v>
      </c>
      <c r="Q63" s="37">
        <v>85.236363636363606</v>
      </c>
      <c r="R63" s="37">
        <v>89.090909090909093</v>
      </c>
      <c r="S63" s="44" t="s">
        <v>243</v>
      </c>
      <c r="T63" s="37">
        <v>82.545454545454504</v>
      </c>
      <c r="U63" s="45">
        <f t="shared" ref="U63:U68" si="6">(J63+L63+N63+P63+R63+T63)/6</f>
        <v>89.569696969696977</v>
      </c>
    </row>
    <row r="64" spans="1:21" ht="15.75" x14ac:dyDescent="0.25">
      <c r="A64" s="37">
        <v>57.2</v>
      </c>
      <c r="B64" s="54" t="s">
        <v>244</v>
      </c>
      <c r="C64" s="39" t="s">
        <v>175</v>
      </c>
      <c r="E64" s="41">
        <v>604697</v>
      </c>
      <c r="F64" s="42" t="s">
        <v>26</v>
      </c>
      <c r="G64" s="46" t="s">
        <v>245</v>
      </c>
      <c r="H64" s="47">
        <v>42</v>
      </c>
      <c r="I64" s="44" t="s">
        <v>246</v>
      </c>
      <c r="J64" s="37">
        <v>86.606060606060595</v>
      </c>
      <c r="K64" s="37">
        <v>26.006060606060601</v>
      </c>
      <c r="L64" s="37">
        <v>94.351515151515201</v>
      </c>
      <c r="M64" s="37">
        <v>30.090909090909101</v>
      </c>
      <c r="N64" s="37">
        <v>92.096969696969694</v>
      </c>
      <c r="O64" s="37">
        <v>30.587878787878701</v>
      </c>
      <c r="P64" s="37">
        <v>93.090909090909093</v>
      </c>
      <c r="Q64" s="37">
        <v>85.175757575757601</v>
      </c>
      <c r="R64" s="37">
        <v>89.006060606060601</v>
      </c>
      <c r="S64" s="44" t="s">
        <v>247</v>
      </c>
      <c r="T64" s="37">
        <v>82.436363636363595</v>
      </c>
      <c r="U64" s="45">
        <f t="shared" si="6"/>
        <v>89.597979797979804</v>
      </c>
    </row>
    <row r="65" spans="1:21" ht="15.75" x14ac:dyDescent="0.25">
      <c r="A65" s="37">
        <v>58.12</v>
      </c>
      <c r="B65" s="54" t="s">
        <v>248</v>
      </c>
      <c r="C65" s="39" t="s">
        <v>175</v>
      </c>
      <c r="E65" s="41">
        <v>557967</v>
      </c>
      <c r="F65" s="42" t="s">
        <v>26</v>
      </c>
      <c r="G65" s="46" t="s">
        <v>249</v>
      </c>
      <c r="H65" s="47">
        <v>50</v>
      </c>
      <c r="I65" s="44" t="s">
        <v>250</v>
      </c>
      <c r="J65" s="37">
        <v>86.721212121212105</v>
      </c>
      <c r="K65" s="37">
        <v>26.1212121212121</v>
      </c>
      <c r="L65" s="37">
        <v>94.430303030302994</v>
      </c>
      <c r="M65" s="37">
        <v>30.218181818181801</v>
      </c>
      <c r="N65" s="37">
        <v>92.139393939393898</v>
      </c>
      <c r="O65" s="37">
        <v>30.757575757575701</v>
      </c>
      <c r="P65" s="37">
        <v>93.218181818181804</v>
      </c>
      <c r="Q65" s="37">
        <v>85.115151515151496</v>
      </c>
      <c r="R65" s="37">
        <v>88.921212121212093</v>
      </c>
      <c r="S65" s="44" t="s">
        <v>250</v>
      </c>
      <c r="T65" s="53">
        <v>82.3272727272727</v>
      </c>
      <c r="U65" s="45">
        <f t="shared" si="6"/>
        <v>89.626262626262587</v>
      </c>
    </row>
    <row r="66" spans="1:21" ht="15.75" x14ac:dyDescent="0.25">
      <c r="A66" s="37">
        <v>59.04</v>
      </c>
      <c r="B66" s="54" t="s">
        <v>251</v>
      </c>
      <c r="C66" s="39" t="s">
        <v>175</v>
      </c>
      <c r="E66" s="41">
        <v>579228</v>
      </c>
      <c r="F66" s="42" t="s">
        <v>26</v>
      </c>
      <c r="G66" s="46" t="s">
        <v>252</v>
      </c>
      <c r="H66" s="47">
        <v>47</v>
      </c>
      <c r="I66" s="44" t="s">
        <v>253</v>
      </c>
      <c r="J66" s="37">
        <v>86.8363636363636</v>
      </c>
      <c r="K66" s="37">
        <v>26.236363636363599</v>
      </c>
      <c r="L66" s="37">
        <v>94.509090909090901</v>
      </c>
      <c r="M66" s="53">
        <v>30.345454545454601</v>
      </c>
      <c r="N66" s="37">
        <v>92.181818181818201</v>
      </c>
      <c r="O66" s="37">
        <v>30.927272727272701</v>
      </c>
      <c r="P66" s="37">
        <v>93.345454545454501</v>
      </c>
      <c r="Q66" s="37">
        <v>85.054545454545405</v>
      </c>
      <c r="R66" s="37">
        <v>88.8363636363636</v>
      </c>
      <c r="S66" s="44" t="s">
        <v>254</v>
      </c>
      <c r="T66" s="37">
        <v>82.218181818181804</v>
      </c>
      <c r="U66" s="45">
        <f t="shared" si="6"/>
        <v>89.654545454545442</v>
      </c>
    </row>
    <row r="67" spans="1:21" ht="15.75" x14ac:dyDescent="0.25">
      <c r="A67" s="37">
        <v>59.96</v>
      </c>
      <c r="B67" s="54" t="s">
        <v>255</v>
      </c>
      <c r="C67" s="39" t="s">
        <v>175</v>
      </c>
      <c r="E67" s="41" t="s">
        <v>256</v>
      </c>
      <c r="F67" s="42" t="s">
        <v>26</v>
      </c>
      <c r="G67" s="46" t="s">
        <v>229</v>
      </c>
      <c r="H67" s="47">
        <v>51</v>
      </c>
      <c r="I67" s="44" t="s">
        <v>247</v>
      </c>
      <c r="J67" s="37">
        <v>86.951515151515096</v>
      </c>
      <c r="K67" s="37">
        <v>26.351515151515201</v>
      </c>
      <c r="L67" s="37">
        <v>94.587878787878793</v>
      </c>
      <c r="M67" s="37">
        <v>30.472727272727301</v>
      </c>
      <c r="N67" s="37">
        <v>92.224242424242405</v>
      </c>
      <c r="O67" s="37">
        <v>31.096969696969701</v>
      </c>
      <c r="P67" s="37">
        <v>93.472727272727298</v>
      </c>
      <c r="Q67" s="37">
        <v>84.993939393939399</v>
      </c>
      <c r="R67" s="37">
        <v>88.751515151515207</v>
      </c>
      <c r="S67" s="44" t="s">
        <v>253</v>
      </c>
      <c r="T67" s="37">
        <v>82.109090909090895</v>
      </c>
      <c r="U67" s="45">
        <f t="shared" si="6"/>
        <v>89.682828282828282</v>
      </c>
    </row>
    <row r="68" spans="1:21" ht="15.75" x14ac:dyDescent="0.25">
      <c r="A68" s="37">
        <v>60.88</v>
      </c>
      <c r="B68" s="54" t="s">
        <v>257</v>
      </c>
      <c r="C68" s="39" t="s">
        <v>175</v>
      </c>
      <c r="E68" s="41" t="s">
        <v>258</v>
      </c>
      <c r="F68" s="42" t="s">
        <v>26</v>
      </c>
      <c r="G68" s="46" t="s">
        <v>259</v>
      </c>
      <c r="H68" s="47">
        <v>50</v>
      </c>
      <c r="I68" s="44" t="s">
        <v>254</v>
      </c>
      <c r="J68" s="53">
        <v>87.066666666666606</v>
      </c>
      <c r="K68" s="53">
        <v>26.466666666666701</v>
      </c>
      <c r="L68" s="53">
        <v>94.6666666666667</v>
      </c>
      <c r="M68" s="37">
        <v>30.6</v>
      </c>
      <c r="N68" s="53">
        <v>92.266666666666694</v>
      </c>
      <c r="O68" s="53">
        <v>31.266666666666602</v>
      </c>
      <c r="P68" s="53">
        <v>93.6</v>
      </c>
      <c r="Q68" s="53">
        <v>84.933333333333294</v>
      </c>
      <c r="R68" s="53">
        <v>88.6666666666667</v>
      </c>
      <c r="S68" s="44" t="s">
        <v>246</v>
      </c>
      <c r="T68" s="37">
        <v>82</v>
      </c>
      <c r="U68" s="45">
        <f t="shared" si="6"/>
        <v>89.711111111111109</v>
      </c>
    </row>
    <row r="69" spans="1:21" ht="15.75" x14ac:dyDescent="0.25">
      <c r="A69" s="37">
        <v>61.8</v>
      </c>
      <c r="B69" s="54" t="s">
        <v>260</v>
      </c>
      <c r="C69" s="39" t="s">
        <v>175</v>
      </c>
      <c r="E69" s="41">
        <v>579249</v>
      </c>
      <c r="F69" s="42" t="s">
        <v>26</v>
      </c>
      <c r="G69" s="46" t="s">
        <v>261</v>
      </c>
      <c r="H69" s="47">
        <v>50</v>
      </c>
      <c r="I69" s="44" t="s">
        <v>243</v>
      </c>
      <c r="J69" s="37">
        <v>87.181818181818201</v>
      </c>
      <c r="K69" s="37">
        <v>26.5818181818182</v>
      </c>
      <c r="L69" s="37">
        <v>94.745454545454507</v>
      </c>
      <c r="M69" s="37">
        <v>30.727272727272702</v>
      </c>
      <c r="N69" s="37">
        <v>92.309090909090898</v>
      </c>
      <c r="O69" s="37">
        <v>31.436363636363598</v>
      </c>
      <c r="P69" s="37">
        <v>93.727272727272705</v>
      </c>
      <c r="Q69" s="37">
        <v>84.872727272727303</v>
      </c>
      <c r="R69" s="37">
        <v>88.581818181818207</v>
      </c>
      <c r="S69" s="44" t="s">
        <v>243</v>
      </c>
      <c r="T69" s="37">
        <v>81.890909090909105</v>
      </c>
      <c r="U69" s="45">
        <v>90.75</v>
      </c>
    </row>
    <row r="70" spans="1:21" ht="15.75" x14ac:dyDescent="0.25">
      <c r="A70" s="37">
        <v>62.72</v>
      </c>
      <c r="B70" s="54" t="s">
        <v>262</v>
      </c>
      <c r="C70" s="39" t="s">
        <v>175</v>
      </c>
      <c r="E70" s="41" t="s">
        <v>263</v>
      </c>
      <c r="F70" s="42" t="s">
        <v>44</v>
      </c>
      <c r="G70" s="46" t="s">
        <v>264</v>
      </c>
      <c r="H70" s="47">
        <v>50</v>
      </c>
      <c r="I70" s="44" t="s">
        <v>250</v>
      </c>
      <c r="J70" s="37">
        <v>87.296969696969697</v>
      </c>
      <c r="K70" s="37">
        <v>26.696969696969699</v>
      </c>
      <c r="L70" s="37">
        <v>94.824242424242399</v>
      </c>
      <c r="M70" s="37">
        <v>30.854545454545502</v>
      </c>
      <c r="N70" s="37">
        <v>92.351515151515201</v>
      </c>
      <c r="O70" s="37">
        <v>31.606060606060598</v>
      </c>
      <c r="P70" s="37">
        <v>93.854545454545402</v>
      </c>
      <c r="Q70" s="37">
        <v>84.812121212121198</v>
      </c>
      <c r="R70" s="37">
        <v>88.4969696969697</v>
      </c>
      <c r="S70" s="44" t="s">
        <v>250</v>
      </c>
      <c r="T70" s="53">
        <v>81.781818181818196</v>
      </c>
      <c r="U70" s="45">
        <v>90.85</v>
      </c>
    </row>
    <row r="71" spans="1:21" ht="15.75" x14ac:dyDescent="0.25">
      <c r="A71" s="37">
        <v>63.64</v>
      </c>
      <c r="B71" s="54" t="s">
        <v>265</v>
      </c>
      <c r="C71" s="39" t="s">
        <v>175</v>
      </c>
      <c r="E71" s="41" t="s">
        <v>266</v>
      </c>
      <c r="F71" s="42" t="s">
        <v>44</v>
      </c>
      <c r="G71" s="46" t="s">
        <v>267</v>
      </c>
      <c r="H71" s="47">
        <v>50</v>
      </c>
      <c r="I71" s="44" t="s">
        <v>247</v>
      </c>
      <c r="J71" s="37">
        <v>87.412121212121207</v>
      </c>
      <c r="K71" s="37">
        <v>26.812121212121198</v>
      </c>
      <c r="L71" s="37">
        <v>94.903030303030306</v>
      </c>
      <c r="M71" s="37">
        <v>30.981818181818198</v>
      </c>
      <c r="N71" s="37">
        <v>92.393939393939405</v>
      </c>
      <c r="O71" s="37">
        <v>31.775757575757499</v>
      </c>
      <c r="P71" s="37">
        <v>93.981818181818198</v>
      </c>
      <c r="Q71" s="37">
        <v>84.751515151515093</v>
      </c>
      <c r="R71" s="37">
        <v>88.412121212121207</v>
      </c>
      <c r="S71" s="44" t="s">
        <v>253</v>
      </c>
      <c r="T71" s="37">
        <v>81.672727272727201</v>
      </c>
      <c r="U71" s="45">
        <v>90.95</v>
      </c>
    </row>
    <row r="72" spans="1:21" ht="15.75" x14ac:dyDescent="0.25">
      <c r="A72" s="37">
        <v>64.56</v>
      </c>
      <c r="B72" s="54" t="s">
        <v>268</v>
      </c>
      <c r="C72" s="55" t="s">
        <v>175</v>
      </c>
      <c r="E72" s="41" t="s">
        <v>269</v>
      </c>
      <c r="F72" s="42" t="s">
        <v>26</v>
      </c>
      <c r="G72" s="46" t="s">
        <v>270</v>
      </c>
      <c r="H72" s="47">
        <v>49</v>
      </c>
      <c r="I72" s="44" t="s">
        <v>243</v>
      </c>
      <c r="J72" s="37">
        <v>87.527272727272702</v>
      </c>
      <c r="K72" s="37">
        <v>26.927272727272701</v>
      </c>
      <c r="L72" s="37">
        <v>94.981818181818198</v>
      </c>
      <c r="M72" s="37">
        <v>31.109090909090899</v>
      </c>
      <c r="N72" s="37">
        <v>92.436363636363694</v>
      </c>
      <c r="O72" s="37">
        <v>31.945454545454499</v>
      </c>
      <c r="P72" s="37">
        <v>94.109090909090895</v>
      </c>
      <c r="Q72" s="37">
        <v>84.690909090909102</v>
      </c>
      <c r="R72" s="37">
        <v>88.3272727272727</v>
      </c>
      <c r="S72" s="44" t="s">
        <v>243</v>
      </c>
      <c r="T72" s="37">
        <v>81.563636363636306</v>
      </c>
      <c r="U72" s="45">
        <v>91.05</v>
      </c>
    </row>
    <row r="73" spans="1:21" ht="15.75" x14ac:dyDescent="0.25">
      <c r="A73" s="37">
        <v>65.48</v>
      </c>
      <c r="B73" s="54" t="s">
        <v>271</v>
      </c>
      <c r="C73" s="55" t="s">
        <v>175</v>
      </c>
      <c r="E73" s="41">
        <v>613356</v>
      </c>
      <c r="F73" s="42" t="s">
        <v>44</v>
      </c>
      <c r="G73" s="46" t="s">
        <v>272</v>
      </c>
      <c r="H73" s="47">
        <v>48</v>
      </c>
      <c r="I73" s="44" t="s">
        <v>273</v>
      </c>
      <c r="J73" s="37">
        <v>87.642424242424198</v>
      </c>
      <c r="K73" s="37">
        <v>27.0424242424242</v>
      </c>
      <c r="L73" s="37">
        <v>95.060606060606105</v>
      </c>
      <c r="M73" s="37">
        <v>31.236363636363599</v>
      </c>
      <c r="N73" s="37">
        <v>92.478787878787898</v>
      </c>
      <c r="O73" s="37">
        <v>32.115151515151503</v>
      </c>
      <c r="P73" s="37">
        <v>94.236363636363606</v>
      </c>
      <c r="Q73" s="37">
        <v>84.630303030302997</v>
      </c>
      <c r="R73" s="37">
        <v>88.242424242424306</v>
      </c>
      <c r="S73" s="44" t="s">
        <v>273</v>
      </c>
      <c r="T73" s="37">
        <v>81.454545454545396</v>
      </c>
      <c r="U73" s="45">
        <f t="shared" ref="U73:U78" si="7">(J73+L73+N73+P73+R73+T73)/6</f>
        <v>89.852525252525254</v>
      </c>
    </row>
    <row r="74" spans="1:21" ht="15.75" x14ac:dyDescent="0.25">
      <c r="A74" s="37">
        <v>66.400000000000006</v>
      </c>
      <c r="B74" s="54" t="s">
        <v>274</v>
      </c>
      <c r="C74" s="55" t="s">
        <v>275</v>
      </c>
      <c r="E74" s="41">
        <v>604868</v>
      </c>
      <c r="F74" s="42" t="s">
        <v>26</v>
      </c>
      <c r="G74" s="46" t="s">
        <v>276</v>
      </c>
      <c r="H74" s="47">
        <v>42</v>
      </c>
      <c r="I74" s="44" t="s">
        <v>277</v>
      </c>
      <c r="J74" s="37">
        <v>87.757575757575793</v>
      </c>
      <c r="K74" s="37">
        <v>27.157575757575799</v>
      </c>
      <c r="L74" s="37">
        <v>95.139393939393898</v>
      </c>
      <c r="M74" s="37">
        <v>31.363636363636399</v>
      </c>
      <c r="N74" s="37">
        <v>92.521212121212102</v>
      </c>
      <c r="O74" s="37">
        <v>32.284848484848403</v>
      </c>
      <c r="P74" s="37">
        <v>94.363636363636402</v>
      </c>
      <c r="Q74" s="37">
        <v>84.569696969696906</v>
      </c>
      <c r="R74" s="37">
        <v>88.157575757575799</v>
      </c>
      <c r="S74" s="44" t="s">
        <v>278</v>
      </c>
      <c r="T74" s="37">
        <v>81.345454545454501</v>
      </c>
      <c r="U74" s="45">
        <f t="shared" si="7"/>
        <v>89.88080808080808</v>
      </c>
    </row>
    <row r="75" spans="1:21" ht="15.75" x14ac:dyDescent="0.25">
      <c r="A75" s="37">
        <v>67.319999999999993</v>
      </c>
      <c r="B75" s="54" t="s">
        <v>279</v>
      </c>
      <c r="C75" s="55" t="s">
        <v>275</v>
      </c>
      <c r="E75" s="41">
        <v>599482</v>
      </c>
      <c r="F75" s="42" t="s">
        <v>26</v>
      </c>
      <c r="G75" s="46" t="s">
        <v>280</v>
      </c>
      <c r="H75" s="47">
        <v>49</v>
      </c>
      <c r="I75" s="44" t="s">
        <v>281</v>
      </c>
      <c r="J75" s="37">
        <v>87.872727272727303</v>
      </c>
      <c r="K75" s="37">
        <v>27.272727272727298</v>
      </c>
      <c r="L75" s="37">
        <v>95.218181818181804</v>
      </c>
      <c r="M75" s="37">
        <v>31.490909090909099</v>
      </c>
      <c r="N75" s="37">
        <v>92.563636363636405</v>
      </c>
      <c r="O75" s="37">
        <v>32.454545454545404</v>
      </c>
      <c r="P75" s="37">
        <v>94.490909090909099</v>
      </c>
      <c r="Q75" s="37">
        <v>84.509090909090901</v>
      </c>
      <c r="R75" s="37">
        <v>88.072727272727306</v>
      </c>
      <c r="S75" s="44" t="s">
        <v>281</v>
      </c>
      <c r="T75" s="53">
        <v>81.236363636363606</v>
      </c>
      <c r="U75" s="45">
        <f t="shared" si="7"/>
        <v>89.909090909090935</v>
      </c>
    </row>
    <row r="76" spans="1:21" ht="15.75" x14ac:dyDescent="0.25">
      <c r="A76" s="37">
        <v>68.239999999999995</v>
      </c>
      <c r="B76" s="54" t="s">
        <v>282</v>
      </c>
      <c r="C76" s="55" t="s">
        <v>275</v>
      </c>
      <c r="E76" s="41">
        <v>612404</v>
      </c>
      <c r="F76" s="42" t="s">
        <v>26</v>
      </c>
      <c r="G76" s="46" t="s">
        <v>283</v>
      </c>
      <c r="H76" s="47">
        <v>49</v>
      </c>
      <c r="I76" s="44" t="s">
        <v>284</v>
      </c>
      <c r="J76" s="37">
        <v>87.987878787878799</v>
      </c>
      <c r="K76" s="37">
        <v>27.387878787878801</v>
      </c>
      <c r="L76" s="37">
        <v>95.296969696969697</v>
      </c>
      <c r="M76" s="53">
        <v>31.6181818181818</v>
      </c>
      <c r="N76" s="37">
        <v>92.606060606060595</v>
      </c>
      <c r="O76" s="37">
        <v>32.624242424242397</v>
      </c>
      <c r="P76" s="37">
        <v>94.618181818181796</v>
      </c>
      <c r="Q76" s="37">
        <v>84.448484848484796</v>
      </c>
      <c r="R76" s="37">
        <v>87.987878787878799</v>
      </c>
      <c r="S76" s="44" t="s">
        <v>285</v>
      </c>
      <c r="T76" s="37">
        <v>81.127272727272697</v>
      </c>
      <c r="U76" s="45">
        <f t="shared" si="7"/>
        <v>89.937373737373733</v>
      </c>
    </row>
    <row r="77" spans="1:21" ht="15.75" x14ac:dyDescent="0.25">
      <c r="A77" s="37">
        <v>69.16</v>
      </c>
      <c r="B77" s="54" t="s">
        <v>286</v>
      </c>
      <c r="C77" s="55" t="s">
        <v>275</v>
      </c>
      <c r="E77" s="41">
        <v>588860</v>
      </c>
      <c r="F77" s="42" t="s">
        <v>26</v>
      </c>
      <c r="G77" s="46" t="s">
        <v>287</v>
      </c>
      <c r="H77" s="47">
        <v>49</v>
      </c>
      <c r="I77" s="44" t="s">
        <v>278</v>
      </c>
      <c r="J77" s="37">
        <v>88.103030303030295</v>
      </c>
      <c r="K77" s="37">
        <v>27.5030303030303</v>
      </c>
      <c r="L77" s="37">
        <v>95.375757575757603</v>
      </c>
      <c r="M77" s="37">
        <v>31.745454545454599</v>
      </c>
      <c r="N77" s="37">
        <v>92.648484848484898</v>
      </c>
      <c r="O77" s="37">
        <v>32.793939393939397</v>
      </c>
      <c r="P77" s="37">
        <v>94.745454545454507</v>
      </c>
      <c r="Q77" s="37">
        <v>84.387878787878805</v>
      </c>
      <c r="R77" s="37">
        <v>87.903030303030306</v>
      </c>
      <c r="S77" s="44" t="s">
        <v>284</v>
      </c>
      <c r="T77" s="37">
        <v>81.018181818181802</v>
      </c>
      <c r="U77" s="45">
        <f t="shared" si="7"/>
        <v>89.965656565656559</v>
      </c>
    </row>
    <row r="78" spans="1:21" ht="15.75" x14ac:dyDescent="0.25">
      <c r="A78" s="37">
        <v>70.08</v>
      </c>
      <c r="B78" s="54" t="s">
        <v>288</v>
      </c>
      <c r="C78" s="55" t="s">
        <v>275</v>
      </c>
      <c r="E78" s="41" t="s">
        <v>289</v>
      </c>
      <c r="F78" s="42" t="s">
        <v>44</v>
      </c>
      <c r="G78" s="46" t="s">
        <v>290</v>
      </c>
      <c r="H78" s="47">
        <v>40</v>
      </c>
      <c r="I78" s="44" t="s">
        <v>285</v>
      </c>
      <c r="J78" s="53">
        <v>88.218181818181804</v>
      </c>
      <c r="K78" s="53">
        <v>27.6181818181818</v>
      </c>
      <c r="L78" s="53">
        <v>95.454545454545496</v>
      </c>
      <c r="M78" s="37">
        <v>31.8727272727273</v>
      </c>
      <c r="N78" s="53">
        <v>92.690909090909102</v>
      </c>
      <c r="O78" s="53">
        <v>32.963636363636297</v>
      </c>
      <c r="P78" s="53">
        <v>94.872727272727303</v>
      </c>
      <c r="Q78" s="53">
        <v>84.3272727272727</v>
      </c>
      <c r="R78" s="53">
        <v>87.818181818181799</v>
      </c>
      <c r="S78" s="44" t="s">
        <v>277</v>
      </c>
      <c r="T78" s="37">
        <v>80.909090909090907</v>
      </c>
      <c r="U78" s="45">
        <f t="shared" si="7"/>
        <v>89.993939393939399</v>
      </c>
    </row>
    <row r="79" spans="1:21" ht="15.75" x14ac:dyDescent="0.25">
      <c r="A79" s="37">
        <v>71</v>
      </c>
      <c r="B79" s="54" t="s">
        <v>291</v>
      </c>
      <c r="C79" s="55" t="s">
        <v>275</v>
      </c>
      <c r="E79" s="41">
        <v>612217</v>
      </c>
      <c r="F79" s="42" t="s">
        <v>26</v>
      </c>
      <c r="G79" s="46" t="s">
        <v>292</v>
      </c>
      <c r="H79" s="47">
        <v>50</v>
      </c>
      <c r="I79" s="44" t="s">
        <v>273</v>
      </c>
      <c r="J79" s="37">
        <v>88.3333333333333</v>
      </c>
      <c r="K79" s="37">
        <v>27.733333333333299</v>
      </c>
      <c r="L79" s="37">
        <v>95.533333333333303</v>
      </c>
      <c r="M79" s="37">
        <v>32</v>
      </c>
      <c r="N79" s="37">
        <v>92.733333333333306</v>
      </c>
      <c r="O79" s="37">
        <v>33.133333333333297</v>
      </c>
      <c r="P79" s="37">
        <v>95</v>
      </c>
      <c r="Q79" s="37">
        <v>84.266666666666694</v>
      </c>
      <c r="R79" s="37">
        <v>87.733333333333306</v>
      </c>
      <c r="S79" s="44" t="s">
        <v>273</v>
      </c>
      <c r="T79" s="37">
        <v>80.8</v>
      </c>
      <c r="U79" s="45">
        <v>91.15</v>
      </c>
    </row>
    <row r="80" spans="1:21" ht="15.75" x14ac:dyDescent="0.25">
      <c r="A80" s="37">
        <v>71.92</v>
      </c>
      <c r="B80" s="54" t="s">
        <v>293</v>
      </c>
      <c r="C80" s="55" t="s">
        <v>275</v>
      </c>
      <c r="E80" s="41" t="s">
        <v>294</v>
      </c>
      <c r="F80" s="42" t="s">
        <v>26</v>
      </c>
      <c r="G80" s="46" t="s">
        <v>295</v>
      </c>
      <c r="H80" s="47">
        <v>40</v>
      </c>
      <c r="I80" s="44" t="s">
        <v>281</v>
      </c>
      <c r="J80" s="37">
        <v>88.448484848484796</v>
      </c>
      <c r="K80" s="37">
        <v>27.848484848484901</v>
      </c>
      <c r="L80" s="37">
        <v>95.612121212121195</v>
      </c>
      <c r="M80" s="37">
        <v>32.127272727272697</v>
      </c>
      <c r="N80" s="37">
        <v>92.775757575757595</v>
      </c>
      <c r="O80" s="37">
        <v>33.303030303030297</v>
      </c>
      <c r="P80" s="37">
        <v>95.127272727272697</v>
      </c>
      <c r="Q80" s="37">
        <v>84.206060606060603</v>
      </c>
      <c r="R80" s="37">
        <v>87.648484848484898</v>
      </c>
      <c r="S80" s="44" t="s">
        <v>281</v>
      </c>
      <c r="T80" s="53">
        <v>80.690909090909102</v>
      </c>
      <c r="U80" s="45">
        <v>91.25</v>
      </c>
    </row>
    <row r="81" spans="1:21" ht="15.75" x14ac:dyDescent="0.25">
      <c r="A81" s="37">
        <v>72.84</v>
      </c>
      <c r="B81" s="54" t="s">
        <v>296</v>
      </c>
      <c r="C81" s="55" t="s">
        <v>275</v>
      </c>
      <c r="E81" s="41">
        <v>604956</v>
      </c>
      <c r="F81" s="42" t="s">
        <v>26</v>
      </c>
      <c r="G81" s="46" t="s">
        <v>297</v>
      </c>
      <c r="H81" s="47">
        <v>50</v>
      </c>
      <c r="I81" s="44" t="s">
        <v>278</v>
      </c>
      <c r="J81" s="37">
        <v>88.563636363636306</v>
      </c>
      <c r="K81" s="37">
        <v>27.9636363636364</v>
      </c>
      <c r="L81" s="37">
        <v>95.690909090909102</v>
      </c>
      <c r="M81" s="37">
        <v>32.2545454545455</v>
      </c>
      <c r="N81" s="37">
        <v>92.818181818181799</v>
      </c>
      <c r="O81" s="37">
        <v>33.472727272727198</v>
      </c>
      <c r="P81" s="37">
        <v>95.254545454545493</v>
      </c>
      <c r="Q81" s="37">
        <v>84.145454545454498</v>
      </c>
      <c r="R81" s="37">
        <v>87.563636363636405</v>
      </c>
      <c r="S81" s="44" t="s">
        <v>284</v>
      </c>
      <c r="T81" s="37">
        <v>80.581818181818207</v>
      </c>
      <c r="U81" s="45">
        <v>91.35</v>
      </c>
    </row>
    <row r="82" spans="1:21" ht="15.75" x14ac:dyDescent="0.25">
      <c r="A82" s="37">
        <v>73.760000000000005</v>
      </c>
      <c r="B82" s="54" t="s">
        <v>298</v>
      </c>
      <c r="C82" s="55" t="s">
        <v>275</v>
      </c>
      <c r="E82" s="41" t="s">
        <v>299</v>
      </c>
      <c r="F82" s="42" t="s">
        <v>26</v>
      </c>
      <c r="G82" s="46" t="s">
        <v>300</v>
      </c>
      <c r="H82" s="47">
        <v>47</v>
      </c>
      <c r="I82" s="44" t="s">
        <v>273</v>
      </c>
      <c r="J82" s="37">
        <v>88.678787878787901</v>
      </c>
      <c r="K82" s="37">
        <v>28.0787878787879</v>
      </c>
      <c r="L82" s="37">
        <v>95.769696969696994</v>
      </c>
      <c r="M82" s="37">
        <v>32.381818181818197</v>
      </c>
      <c r="N82" s="37">
        <v>92.860606060606102</v>
      </c>
      <c r="O82" s="37">
        <v>33.642424242424198</v>
      </c>
      <c r="P82" s="37">
        <v>95.381818181818204</v>
      </c>
      <c r="Q82" s="37">
        <v>84.084848484848493</v>
      </c>
      <c r="R82" s="37">
        <v>87.478787878787898</v>
      </c>
      <c r="S82" s="44" t="s">
        <v>273</v>
      </c>
      <c r="T82" s="37">
        <v>80.472727272727298</v>
      </c>
      <c r="U82" s="45">
        <v>91.45</v>
      </c>
    </row>
    <row r="83" spans="1:21" ht="15.75" x14ac:dyDescent="0.25">
      <c r="A83" s="37">
        <v>74.680000000000007</v>
      </c>
      <c r="B83" s="54" t="s">
        <v>301</v>
      </c>
      <c r="C83" s="55" t="s">
        <v>275</v>
      </c>
      <c r="E83" s="41">
        <v>604823</v>
      </c>
      <c r="F83" s="42" t="s">
        <v>26</v>
      </c>
      <c r="G83" s="46" t="s">
        <v>302</v>
      </c>
      <c r="H83" s="47">
        <v>47</v>
      </c>
      <c r="I83" s="44" t="s">
        <v>303</v>
      </c>
      <c r="J83" s="37">
        <v>88.793939393939397</v>
      </c>
      <c r="K83" s="37">
        <v>28.193939393939399</v>
      </c>
      <c r="L83" s="37">
        <v>95.848484848484901</v>
      </c>
      <c r="M83" s="37">
        <v>32.509090909090901</v>
      </c>
      <c r="N83" s="37">
        <v>92.903030303030306</v>
      </c>
      <c r="O83" s="37">
        <v>33.812121212121198</v>
      </c>
      <c r="P83" s="37">
        <v>95.509090909090901</v>
      </c>
      <c r="Q83" s="37">
        <v>84.024242424242402</v>
      </c>
      <c r="R83" s="37">
        <v>87.393939393939405</v>
      </c>
      <c r="S83" s="44" t="s">
        <v>303</v>
      </c>
      <c r="T83" s="37">
        <v>80.363636363636303</v>
      </c>
      <c r="U83" s="45">
        <f t="shared" ref="U83:U88" si="8">(J83+L83+N83+P83+R83+T83)/6</f>
        <v>90.135353535353531</v>
      </c>
    </row>
    <row r="84" spans="1:21" ht="15.75" x14ac:dyDescent="0.25">
      <c r="A84" s="37">
        <v>75.599999999999994</v>
      </c>
      <c r="B84" s="54" t="s">
        <v>304</v>
      </c>
      <c r="C84" s="55" t="s">
        <v>275</v>
      </c>
      <c r="E84" s="41">
        <v>604958</v>
      </c>
      <c r="F84" s="42" t="s">
        <v>26</v>
      </c>
      <c r="G84" s="46" t="s">
        <v>305</v>
      </c>
      <c r="H84" s="47">
        <v>46</v>
      </c>
      <c r="I84" s="44" t="s">
        <v>306</v>
      </c>
      <c r="J84" s="37">
        <v>88.909090909090907</v>
      </c>
      <c r="K84" s="37">
        <v>28.309090909090902</v>
      </c>
      <c r="L84" s="37">
        <v>95.927272727272694</v>
      </c>
      <c r="M84" s="37">
        <v>32.636363636363598</v>
      </c>
      <c r="N84" s="37">
        <v>92.945454545454595</v>
      </c>
      <c r="O84" s="37">
        <v>33.981818181818099</v>
      </c>
      <c r="P84" s="37">
        <v>95.636363636363598</v>
      </c>
      <c r="Q84" s="37">
        <v>83.963636363636397</v>
      </c>
      <c r="R84" s="37">
        <v>87.309090909090898</v>
      </c>
      <c r="S84" s="44" t="s">
        <v>307</v>
      </c>
      <c r="T84" s="37">
        <v>80.254545454545394</v>
      </c>
      <c r="U84" s="45">
        <f t="shared" si="8"/>
        <v>90.163636363636343</v>
      </c>
    </row>
    <row r="85" spans="1:21" ht="15.75" x14ac:dyDescent="0.25">
      <c r="A85" s="37">
        <v>76.52</v>
      </c>
      <c r="B85" s="54" t="s">
        <v>308</v>
      </c>
      <c r="C85" s="55" t="s">
        <v>275</v>
      </c>
      <c r="E85" s="41">
        <v>624201</v>
      </c>
      <c r="F85" s="42" t="s">
        <v>26</v>
      </c>
      <c r="G85" s="46" t="s">
        <v>309</v>
      </c>
      <c r="H85" s="47">
        <v>42</v>
      </c>
      <c r="I85" s="44" t="s">
        <v>310</v>
      </c>
      <c r="J85" s="37">
        <v>89.024242424242402</v>
      </c>
      <c r="K85" s="37">
        <v>28.424242424242401</v>
      </c>
      <c r="L85" s="37">
        <v>96.006060606060601</v>
      </c>
      <c r="M85" s="37">
        <v>32.763636363636301</v>
      </c>
      <c r="N85" s="37">
        <v>92.987878787878799</v>
      </c>
      <c r="O85" s="37">
        <v>34.151515151515099</v>
      </c>
      <c r="P85" s="37">
        <v>95.763636363636294</v>
      </c>
      <c r="Q85" s="37">
        <v>83.903030303030306</v>
      </c>
      <c r="R85" s="37">
        <v>87.224242424242405</v>
      </c>
      <c r="S85" s="44" t="s">
        <v>310</v>
      </c>
      <c r="T85" s="53">
        <v>80.145454545454498</v>
      </c>
      <c r="U85" s="45">
        <f t="shared" si="8"/>
        <v>90.191919191919169</v>
      </c>
    </row>
    <row r="86" spans="1:21" ht="15.75" x14ac:dyDescent="0.25">
      <c r="A86" s="37">
        <v>77.44</v>
      </c>
      <c r="B86" s="54" t="s">
        <v>311</v>
      </c>
      <c r="C86" s="55" t="s">
        <v>275</v>
      </c>
      <c r="E86" s="41" t="s">
        <v>312</v>
      </c>
      <c r="F86" s="42" t="s">
        <v>26</v>
      </c>
      <c r="G86" s="46" t="s">
        <v>313</v>
      </c>
      <c r="H86" s="47">
        <v>50</v>
      </c>
      <c r="I86" s="44" t="s">
        <v>314</v>
      </c>
      <c r="J86" s="37">
        <v>89.139393939393898</v>
      </c>
      <c r="K86" s="37">
        <v>28.5393939393939</v>
      </c>
      <c r="L86" s="37">
        <v>96.084848484848493</v>
      </c>
      <c r="M86" s="53">
        <v>32.890909090909098</v>
      </c>
      <c r="N86" s="37">
        <v>93.030303030303003</v>
      </c>
      <c r="O86" s="37">
        <v>34.321212121212099</v>
      </c>
      <c r="P86" s="37">
        <v>95.890909090909105</v>
      </c>
      <c r="Q86" s="37">
        <v>83.842424242424201</v>
      </c>
      <c r="R86" s="37">
        <v>87.139393939393898</v>
      </c>
      <c r="S86" s="44" t="s">
        <v>315</v>
      </c>
      <c r="T86" s="37">
        <v>80.036363636363603</v>
      </c>
      <c r="U86" s="45">
        <f t="shared" si="8"/>
        <v>90.220202020202009</v>
      </c>
    </row>
    <row r="87" spans="1:21" ht="15.75" x14ac:dyDescent="0.25">
      <c r="A87" s="37">
        <v>78.36</v>
      </c>
      <c r="B87" s="54" t="s">
        <v>316</v>
      </c>
      <c r="C87" s="55" t="s">
        <v>275</v>
      </c>
      <c r="E87" s="41" t="s">
        <v>317</v>
      </c>
      <c r="F87" s="42" t="s">
        <v>26</v>
      </c>
      <c r="G87" s="46" t="s">
        <v>318</v>
      </c>
      <c r="H87" s="47">
        <v>47</v>
      </c>
      <c r="I87" s="44" t="s">
        <v>307</v>
      </c>
      <c r="J87" s="37">
        <v>89.254545454545493</v>
      </c>
      <c r="K87" s="37">
        <v>28.654545454545399</v>
      </c>
      <c r="L87" s="37">
        <v>96.1636363636364</v>
      </c>
      <c r="M87" s="37">
        <v>33.018181818181802</v>
      </c>
      <c r="N87" s="37">
        <v>93.072727272727306</v>
      </c>
      <c r="O87" s="37">
        <v>34.490909090909099</v>
      </c>
      <c r="P87" s="37">
        <v>96.018181818181802</v>
      </c>
      <c r="Q87" s="37">
        <v>83.781818181818196</v>
      </c>
      <c r="R87" s="37">
        <v>87.054545454545504</v>
      </c>
      <c r="S87" s="44" t="s">
        <v>314</v>
      </c>
      <c r="T87" s="37">
        <v>79.927272727272694</v>
      </c>
      <c r="U87" s="45">
        <f t="shared" si="8"/>
        <v>90.248484848484864</v>
      </c>
    </row>
    <row r="88" spans="1:21" ht="15.75" x14ac:dyDescent="0.25">
      <c r="A88" s="37">
        <v>79.28</v>
      </c>
      <c r="B88" s="54" t="s">
        <v>319</v>
      </c>
      <c r="C88" s="55" t="s">
        <v>275</v>
      </c>
      <c r="E88" s="41" t="s">
        <v>320</v>
      </c>
      <c r="F88" s="42" t="s">
        <v>26</v>
      </c>
      <c r="G88" s="46" t="s">
        <v>321</v>
      </c>
      <c r="H88" s="47">
        <v>37</v>
      </c>
      <c r="I88" s="44" t="s">
        <v>315</v>
      </c>
      <c r="J88" s="53">
        <v>89.369696969697003</v>
      </c>
      <c r="K88" s="53">
        <v>28.769696969697002</v>
      </c>
      <c r="L88" s="53">
        <v>96.242424242424207</v>
      </c>
      <c r="M88" s="37">
        <v>33.145454545454498</v>
      </c>
      <c r="N88" s="53">
        <v>93.115151515151496</v>
      </c>
      <c r="O88" s="53">
        <v>34.660606060606</v>
      </c>
      <c r="P88" s="53">
        <v>96.145454545454498</v>
      </c>
      <c r="Q88" s="53">
        <v>83.721212121212105</v>
      </c>
      <c r="R88" s="53">
        <v>86.969696969696997</v>
      </c>
      <c r="S88" s="44" t="s">
        <v>306</v>
      </c>
      <c r="T88" s="37">
        <v>79.818181818181799</v>
      </c>
      <c r="U88" s="45">
        <f t="shared" si="8"/>
        <v>90.276767676767676</v>
      </c>
    </row>
    <row r="89" spans="1:21" ht="15.75" x14ac:dyDescent="0.25">
      <c r="A89" s="37">
        <v>80.2</v>
      </c>
      <c r="B89" s="54" t="s">
        <v>322</v>
      </c>
      <c r="C89" s="55" t="s">
        <v>275</v>
      </c>
      <c r="E89" s="41" t="s">
        <v>323</v>
      </c>
      <c r="F89" s="42" t="s">
        <v>26</v>
      </c>
      <c r="G89" s="46" t="s">
        <v>324</v>
      </c>
      <c r="H89" s="47">
        <v>50</v>
      </c>
      <c r="I89" s="44" t="s">
        <v>303</v>
      </c>
      <c r="J89" s="37">
        <v>89.484848484848499</v>
      </c>
      <c r="K89" s="37">
        <v>28.884848484848501</v>
      </c>
      <c r="L89" s="37">
        <v>96.321212121212099</v>
      </c>
      <c r="M89" s="37">
        <v>33.272727272727302</v>
      </c>
      <c r="N89" s="37">
        <v>93.157575757575799</v>
      </c>
      <c r="O89" s="37">
        <v>34.830303030303</v>
      </c>
      <c r="P89" s="37">
        <v>96.272727272727195</v>
      </c>
      <c r="Q89" s="37">
        <v>83.660606060606</v>
      </c>
      <c r="R89" s="37">
        <v>86.884848484848504</v>
      </c>
      <c r="S89" s="44" t="s">
        <v>303</v>
      </c>
      <c r="T89" s="37">
        <v>79.709090909090904</v>
      </c>
      <c r="U89" s="45">
        <v>91.55</v>
      </c>
    </row>
    <row r="90" spans="1:21" ht="15.75" x14ac:dyDescent="0.25">
      <c r="A90" s="37">
        <v>81.12</v>
      </c>
      <c r="B90" s="54" t="s">
        <v>325</v>
      </c>
      <c r="C90" s="55" t="s">
        <v>275</v>
      </c>
      <c r="E90" s="41" t="s">
        <v>326</v>
      </c>
      <c r="F90" s="42" t="s">
        <v>26</v>
      </c>
      <c r="G90" s="46" t="s">
        <v>327</v>
      </c>
      <c r="H90" s="47">
        <v>41</v>
      </c>
      <c r="I90" s="44" t="s">
        <v>310</v>
      </c>
      <c r="J90" s="37">
        <v>89.6</v>
      </c>
      <c r="K90" s="37">
        <v>29</v>
      </c>
      <c r="L90" s="37">
        <v>96.4</v>
      </c>
      <c r="M90" s="37">
        <v>33.4</v>
      </c>
      <c r="N90" s="37">
        <v>93.2</v>
      </c>
      <c r="O90" s="37">
        <v>35</v>
      </c>
      <c r="P90" s="37">
        <v>96.4</v>
      </c>
      <c r="Q90" s="37">
        <v>83.6</v>
      </c>
      <c r="R90" s="37">
        <v>86.8</v>
      </c>
      <c r="S90" s="44" t="s">
        <v>310</v>
      </c>
      <c r="T90" s="53">
        <v>79.599999999999994</v>
      </c>
      <c r="U90" s="45">
        <v>91.65</v>
      </c>
    </row>
    <row r="91" spans="1:21" ht="15.75" x14ac:dyDescent="0.25">
      <c r="A91" s="37">
        <v>82.04</v>
      </c>
      <c r="B91" s="54" t="s">
        <v>328</v>
      </c>
      <c r="C91" s="55" t="s">
        <v>275</v>
      </c>
      <c r="E91" s="41">
        <v>604717</v>
      </c>
      <c r="F91" s="42" t="s">
        <v>26</v>
      </c>
      <c r="G91" s="46" t="s">
        <v>329</v>
      </c>
      <c r="H91" s="47">
        <v>41</v>
      </c>
      <c r="I91" s="44" t="s">
        <v>307</v>
      </c>
      <c r="J91" s="37">
        <v>89.715151515151504</v>
      </c>
      <c r="K91" s="37">
        <v>29.115151515151499</v>
      </c>
      <c r="L91" s="37">
        <v>96.478787878787898</v>
      </c>
      <c r="M91" s="37">
        <v>33.527272727272702</v>
      </c>
      <c r="N91" s="37">
        <v>93.242424242424207</v>
      </c>
      <c r="O91" s="37">
        <v>35.169696969696901</v>
      </c>
      <c r="P91" s="37">
        <v>96.527272727272702</v>
      </c>
      <c r="Q91" s="37">
        <v>83.539393939393904</v>
      </c>
      <c r="R91" s="37">
        <v>86.715151515151504</v>
      </c>
      <c r="S91" s="44" t="s">
        <v>314</v>
      </c>
      <c r="T91" s="37">
        <v>79.490909090909099</v>
      </c>
      <c r="U91" s="45">
        <v>91.75</v>
      </c>
    </row>
    <row r="92" spans="1:21" ht="15.75" x14ac:dyDescent="0.25">
      <c r="A92" s="37">
        <v>82.96</v>
      </c>
      <c r="B92" s="54" t="s">
        <v>330</v>
      </c>
      <c r="C92" s="55" t="s">
        <v>275</v>
      </c>
      <c r="E92" s="41">
        <v>557935</v>
      </c>
      <c r="F92" s="42" t="s">
        <v>26</v>
      </c>
      <c r="G92" s="46" t="s">
        <v>331</v>
      </c>
      <c r="H92" s="47">
        <v>50</v>
      </c>
      <c r="I92" s="44" t="s">
        <v>303</v>
      </c>
      <c r="J92" s="37">
        <v>89.830303030303099</v>
      </c>
      <c r="K92" s="37">
        <v>29.230303030302998</v>
      </c>
      <c r="L92" s="37">
        <v>96.557575757575805</v>
      </c>
      <c r="M92" s="37">
        <v>33.654545454545399</v>
      </c>
      <c r="N92" s="37">
        <v>93.284848484848496</v>
      </c>
      <c r="O92" s="37">
        <v>35.339393939393901</v>
      </c>
      <c r="P92" s="37">
        <v>96.654545454545399</v>
      </c>
      <c r="Q92" s="37">
        <v>83.478787878787898</v>
      </c>
      <c r="R92" s="37">
        <v>86.630303030303097</v>
      </c>
      <c r="S92" s="44" t="s">
        <v>303</v>
      </c>
      <c r="T92" s="37">
        <v>79.381818181818105</v>
      </c>
      <c r="U92" s="45">
        <v>91.85</v>
      </c>
    </row>
    <row r="93" spans="1:21" ht="15.75" x14ac:dyDescent="0.25">
      <c r="A93" s="37">
        <v>83.88</v>
      </c>
      <c r="B93" s="54" t="s">
        <v>332</v>
      </c>
      <c r="C93" s="55" t="s">
        <v>275</v>
      </c>
      <c r="E93" s="41" t="s">
        <v>333</v>
      </c>
      <c r="F93" s="42" t="s">
        <v>26</v>
      </c>
      <c r="G93" s="46" t="s">
        <v>334</v>
      </c>
      <c r="H93" s="47">
        <v>50</v>
      </c>
      <c r="I93" s="44" t="s">
        <v>335</v>
      </c>
      <c r="J93" s="37">
        <v>89.945454545454595</v>
      </c>
      <c r="K93" s="37">
        <v>29.345454545454601</v>
      </c>
      <c r="L93" s="37">
        <v>96.636363636363598</v>
      </c>
      <c r="M93" s="37">
        <v>33.781818181818203</v>
      </c>
      <c r="N93" s="37">
        <v>93.3272727272727</v>
      </c>
      <c r="O93" s="37">
        <v>35.509090909090901</v>
      </c>
      <c r="P93" s="37">
        <v>96.781818181818196</v>
      </c>
      <c r="Q93" s="37">
        <v>83.418181818181793</v>
      </c>
      <c r="R93" s="37">
        <v>86.545454545454604</v>
      </c>
      <c r="S93" s="44" t="s">
        <v>335</v>
      </c>
      <c r="T93" s="37">
        <v>79.272727272727295</v>
      </c>
      <c r="U93" s="45">
        <f t="shared" ref="U93:U98" si="9">(J93+L93+N93+P93+R93+T93)/6</f>
        <v>90.418181818181836</v>
      </c>
    </row>
    <row r="94" spans="1:21" ht="15.75" x14ac:dyDescent="0.25">
      <c r="A94" s="37">
        <v>84.8</v>
      </c>
      <c r="B94" s="54" t="s">
        <v>336</v>
      </c>
      <c r="C94" s="55" t="s">
        <v>275</v>
      </c>
      <c r="E94" s="41">
        <v>567279</v>
      </c>
      <c r="F94" s="42" t="s">
        <v>26</v>
      </c>
      <c r="G94" s="46" t="s">
        <v>337</v>
      </c>
      <c r="H94" s="47">
        <v>46</v>
      </c>
      <c r="I94" s="44" t="s">
        <v>338</v>
      </c>
      <c r="J94" s="37">
        <v>90.060606060606105</v>
      </c>
      <c r="K94" s="37">
        <v>29.4606060606061</v>
      </c>
      <c r="L94" s="37">
        <v>96.715151515151504</v>
      </c>
      <c r="M94" s="37">
        <v>33.909090909090899</v>
      </c>
      <c r="N94" s="37">
        <v>93.369696969697003</v>
      </c>
      <c r="O94" s="37">
        <v>35.678787878787801</v>
      </c>
      <c r="P94" s="37">
        <v>96.909090909090907</v>
      </c>
      <c r="Q94" s="37">
        <v>83.357575757575702</v>
      </c>
      <c r="R94" s="37">
        <v>86.460606060606096</v>
      </c>
      <c r="S94" s="44" t="s">
        <v>73</v>
      </c>
      <c r="T94" s="37">
        <v>79.1636363636363</v>
      </c>
      <c r="U94" s="45">
        <f t="shared" si="9"/>
        <v>90.446464646464662</v>
      </c>
    </row>
    <row r="95" spans="1:21" ht="15.75" x14ac:dyDescent="0.25">
      <c r="A95" s="37">
        <v>85.72</v>
      </c>
      <c r="B95" s="54" t="s">
        <v>339</v>
      </c>
      <c r="C95" s="55" t="s">
        <v>275</v>
      </c>
      <c r="E95" s="41">
        <v>628940</v>
      </c>
      <c r="F95" s="42" t="s">
        <v>26</v>
      </c>
      <c r="G95" s="46" t="s">
        <v>340</v>
      </c>
      <c r="H95" s="47">
        <v>46</v>
      </c>
      <c r="I95" s="44" t="s">
        <v>341</v>
      </c>
      <c r="J95" s="37">
        <v>90.175757575757601</v>
      </c>
      <c r="K95" s="37">
        <v>29.575757575757599</v>
      </c>
      <c r="L95" s="37">
        <v>96.793939393939397</v>
      </c>
      <c r="M95" s="37">
        <v>34.036363636363603</v>
      </c>
      <c r="N95" s="37">
        <v>93.412121212121207</v>
      </c>
      <c r="O95" s="37">
        <v>35.848484848484802</v>
      </c>
      <c r="P95" s="37">
        <v>97.036363636363603</v>
      </c>
      <c r="Q95" s="37">
        <v>83.296969696969697</v>
      </c>
      <c r="R95" s="37">
        <v>86.375757575757603</v>
      </c>
      <c r="S95" s="44" t="s">
        <v>341</v>
      </c>
      <c r="T95" s="53">
        <v>79.054545454545405</v>
      </c>
      <c r="U95" s="45">
        <f t="shared" si="9"/>
        <v>90.47474747474746</v>
      </c>
    </row>
    <row r="96" spans="1:21" ht="15.75" x14ac:dyDescent="0.25">
      <c r="A96" s="37">
        <v>86.64</v>
      </c>
      <c r="B96" s="54" t="s">
        <v>342</v>
      </c>
      <c r="C96" s="55" t="s">
        <v>275</v>
      </c>
      <c r="E96" s="41" t="s">
        <v>343</v>
      </c>
      <c r="F96" s="42" t="s">
        <v>26</v>
      </c>
      <c r="G96" s="46" t="s">
        <v>344</v>
      </c>
      <c r="H96" s="47">
        <v>50</v>
      </c>
      <c r="I96" s="44" t="s">
        <v>345</v>
      </c>
      <c r="J96" s="37">
        <v>90.290909090909096</v>
      </c>
      <c r="K96" s="37">
        <v>29.690909090909098</v>
      </c>
      <c r="L96" s="37">
        <v>96.872727272727303</v>
      </c>
      <c r="M96" s="53">
        <v>34.1636363636363</v>
      </c>
      <c r="N96" s="37">
        <v>93.454545454545496</v>
      </c>
      <c r="O96" s="37">
        <v>36.018181818181802</v>
      </c>
      <c r="P96" s="37">
        <v>97.1636363636363</v>
      </c>
      <c r="Q96" s="37">
        <v>83.236363636363606</v>
      </c>
      <c r="R96" s="37">
        <v>86.290909090909096</v>
      </c>
      <c r="S96" s="44" t="s">
        <v>346</v>
      </c>
      <c r="T96" s="37">
        <v>78.945454545454496</v>
      </c>
      <c r="U96" s="45">
        <f t="shared" si="9"/>
        <v>90.5030303030303</v>
      </c>
    </row>
    <row r="97" spans="1:21" ht="15.75" x14ac:dyDescent="0.25">
      <c r="A97" s="37">
        <v>87.56</v>
      </c>
      <c r="B97" s="54" t="s">
        <v>347</v>
      </c>
      <c r="C97" s="55" t="s">
        <v>275</v>
      </c>
      <c r="E97" s="41">
        <v>633314</v>
      </c>
      <c r="F97" s="42" t="s">
        <v>26</v>
      </c>
      <c r="G97" s="46" t="s">
        <v>348</v>
      </c>
      <c r="H97" s="47">
        <v>49</v>
      </c>
      <c r="I97" s="44" t="s">
        <v>73</v>
      </c>
      <c r="J97" s="37">
        <v>90.406060606060606</v>
      </c>
      <c r="K97" s="37">
        <v>29.806060606060601</v>
      </c>
      <c r="L97" s="37">
        <v>96.951515151515196</v>
      </c>
      <c r="M97" s="37">
        <v>34.290909090909103</v>
      </c>
      <c r="N97" s="37">
        <v>93.4969696969697</v>
      </c>
      <c r="O97" s="37">
        <v>36.187878787878702</v>
      </c>
      <c r="P97" s="37">
        <v>97.290909090909096</v>
      </c>
      <c r="Q97" s="37">
        <v>83.175757575757601</v>
      </c>
      <c r="R97" s="37">
        <v>86.206060606060603</v>
      </c>
      <c r="S97" s="44" t="s">
        <v>345</v>
      </c>
      <c r="T97" s="37">
        <v>78.8363636363636</v>
      </c>
      <c r="U97" s="45">
        <f t="shared" si="9"/>
        <v>90.531313131313127</v>
      </c>
    </row>
    <row r="98" spans="1:21" ht="15.75" x14ac:dyDescent="0.25">
      <c r="A98" s="37">
        <v>88.48</v>
      </c>
      <c r="B98" s="54" t="s">
        <v>349</v>
      </c>
      <c r="C98" s="55" t="s">
        <v>275</v>
      </c>
      <c r="E98" s="41">
        <v>598159</v>
      </c>
      <c r="F98" s="42" t="s">
        <v>26</v>
      </c>
      <c r="G98" s="46" t="s">
        <v>350</v>
      </c>
      <c r="H98" s="47">
        <v>51</v>
      </c>
      <c r="I98" s="44" t="s">
        <v>346</v>
      </c>
      <c r="J98" s="53">
        <v>90.521212121212102</v>
      </c>
      <c r="K98" s="53">
        <v>29.9212121212121</v>
      </c>
      <c r="L98" s="53">
        <v>97.030303030303003</v>
      </c>
      <c r="M98" s="37">
        <v>34.4181818181818</v>
      </c>
      <c r="N98" s="53">
        <v>93.539393939394003</v>
      </c>
      <c r="O98" s="53">
        <v>36.357575757575702</v>
      </c>
      <c r="P98" s="53">
        <v>97.418181818181793</v>
      </c>
      <c r="Q98" s="53">
        <v>83.115151515151496</v>
      </c>
      <c r="R98" s="53">
        <v>86.121212121212096</v>
      </c>
      <c r="S98" s="44" t="s">
        <v>338</v>
      </c>
      <c r="T98" s="37">
        <v>78.727272727272705</v>
      </c>
      <c r="U98" s="45">
        <f t="shared" si="9"/>
        <v>90.559595959595967</v>
      </c>
    </row>
    <row r="99" spans="1:21" ht="15.75" x14ac:dyDescent="0.25">
      <c r="A99" s="37">
        <v>89.4</v>
      </c>
      <c r="B99" s="54" t="s">
        <v>351</v>
      </c>
      <c r="C99" s="55" t="s">
        <v>275</v>
      </c>
      <c r="E99" s="41">
        <v>589990</v>
      </c>
      <c r="F99" s="42" t="s">
        <v>26</v>
      </c>
      <c r="G99" s="46" t="s">
        <v>85</v>
      </c>
      <c r="H99" s="47">
        <v>41</v>
      </c>
      <c r="I99" s="44" t="s">
        <v>335</v>
      </c>
      <c r="J99" s="37">
        <v>90.636363636363697</v>
      </c>
      <c r="K99" s="37">
        <v>30.036363636363699</v>
      </c>
      <c r="L99" s="37">
        <v>97.109090909090895</v>
      </c>
      <c r="M99" s="37">
        <v>34.545454545454497</v>
      </c>
      <c r="N99" s="37">
        <v>93.581818181818207</v>
      </c>
      <c r="O99" s="37">
        <v>36.527272727272702</v>
      </c>
      <c r="P99" s="37">
        <v>97.545454545454504</v>
      </c>
      <c r="Q99" s="37">
        <v>83.054545454545405</v>
      </c>
      <c r="R99" s="37">
        <v>86.036363636363603</v>
      </c>
      <c r="S99" s="44" t="s">
        <v>335</v>
      </c>
      <c r="T99" s="37">
        <v>78.618181818181796</v>
      </c>
      <c r="U99" s="45">
        <v>91.95</v>
      </c>
    </row>
    <row r="100" spans="1:21" ht="15.75" x14ac:dyDescent="0.25">
      <c r="A100" s="37">
        <v>90.32</v>
      </c>
      <c r="B100" s="54" t="s">
        <v>352</v>
      </c>
      <c r="C100" s="55" t="s">
        <v>275</v>
      </c>
      <c r="E100" s="41">
        <v>624173</v>
      </c>
      <c r="F100" s="42" t="s">
        <v>26</v>
      </c>
      <c r="G100" s="46" t="s">
        <v>236</v>
      </c>
      <c r="H100" s="47">
        <v>50</v>
      </c>
      <c r="I100" s="44" t="s">
        <v>341</v>
      </c>
      <c r="J100" s="37">
        <v>90.751515151515207</v>
      </c>
      <c r="K100" s="37">
        <v>30.151515151515198</v>
      </c>
      <c r="L100" s="37">
        <v>97.187878787878802</v>
      </c>
      <c r="M100" s="37">
        <v>34.6727272727273</v>
      </c>
      <c r="N100" s="37">
        <v>93.624242424242397</v>
      </c>
      <c r="O100" s="37">
        <v>36.696969696969703</v>
      </c>
      <c r="P100" s="37">
        <v>97.672727272727201</v>
      </c>
      <c r="Q100" s="37">
        <v>82.993939393939399</v>
      </c>
      <c r="R100" s="37">
        <v>85.951515151515196</v>
      </c>
      <c r="S100" s="44" t="s">
        <v>341</v>
      </c>
      <c r="T100" s="53">
        <v>78.509090909090901</v>
      </c>
      <c r="U100" s="45">
        <v>92.05</v>
      </c>
    </row>
    <row r="101" spans="1:21" ht="15.75" x14ac:dyDescent="0.25">
      <c r="A101" s="37">
        <v>91.24</v>
      </c>
      <c r="B101" s="54" t="s">
        <v>353</v>
      </c>
      <c r="C101" s="55" t="s">
        <v>275</v>
      </c>
      <c r="E101" s="41" t="s">
        <v>354</v>
      </c>
      <c r="F101" s="42" t="s">
        <v>26</v>
      </c>
      <c r="G101" s="46" t="s">
        <v>355</v>
      </c>
      <c r="H101" s="47">
        <v>50</v>
      </c>
      <c r="I101" s="44" t="s">
        <v>73</v>
      </c>
      <c r="J101" s="37">
        <v>90.866666666666703</v>
      </c>
      <c r="K101" s="37">
        <v>30.266666666666701</v>
      </c>
      <c r="L101" s="37">
        <v>97.266666666666694</v>
      </c>
      <c r="M101" s="37">
        <v>34.799999999999997</v>
      </c>
      <c r="N101" s="37">
        <v>93.6666666666667</v>
      </c>
      <c r="O101" s="37">
        <v>36.866666666666603</v>
      </c>
      <c r="P101" s="37">
        <v>97.8</v>
      </c>
      <c r="Q101" s="37">
        <v>82.933333333333294</v>
      </c>
      <c r="R101" s="37">
        <v>85.866666666666703</v>
      </c>
      <c r="S101" s="44" t="s">
        <v>345</v>
      </c>
      <c r="T101" s="37">
        <v>78.400000000000006</v>
      </c>
      <c r="U101" s="45">
        <v>92.15</v>
      </c>
    </row>
    <row r="102" spans="1:21" ht="15.75" x14ac:dyDescent="0.25">
      <c r="A102" s="37">
        <v>92.16</v>
      </c>
      <c r="B102" s="54" t="s">
        <v>356</v>
      </c>
      <c r="C102" s="55" t="s">
        <v>275</v>
      </c>
      <c r="E102" s="41">
        <v>578333</v>
      </c>
      <c r="F102" s="42" t="s">
        <v>26</v>
      </c>
      <c r="G102" s="46" t="s">
        <v>357</v>
      </c>
      <c r="H102" s="47">
        <v>48</v>
      </c>
      <c r="I102" s="44" t="s">
        <v>335</v>
      </c>
      <c r="J102" s="37">
        <v>90.981818181818198</v>
      </c>
      <c r="K102" s="37">
        <v>30.3818181818182</v>
      </c>
      <c r="L102" s="37">
        <v>97.345454545454601</v>
      </c>
      <c r="M102" s="37">
        <v>34.927272727272701</v>
      </c>
      <c r="N102" s="37">
        <v>93.709090909090904</v>
      </c>
      <c r="O102" s="37">
        <v>37.036363636363603</v>
      </c>
      <c r="P102" s="37">
        <v>97.927272727272694</v>
      </c>
      <c r="Q102" s="37">
        <v>82.872727272727204</v>
      </c>
      <c r="R102" s="37">
        <v>85.781818181818196</v>
      </c>
      <c r="S102" s="44" t="s">
        <v>335</v>
      </c>
      <c r="T102" s="37">
        <v>78.290909090909096</v>
      </c>
      <c r="U102" s="45">
        <v>92.25</v>
      </c>
    </row>
    <row r="103" spans="1:21" ht="15.75" x14ac:dyDescent="0.25">
      <c r="A103" s="37">
        <v>93.08</v>
      </c>
      <c r="B103" s="54" t="s">
        <v>358</v>
      </c>
      <c r="C103" s="55" t="s">
        <v>275</v>
      </c>
      <c r="E103" s="41">
        <v>604061</v>
      </c>
      <c r="F103" s="42" t="s">
        <v>26</v>
      </c>
      <c r="G103" s="46" t="s">
        <v>359</v>
      </c>
      <c r="H103" s="47">
        <v>49</v>
      </c>
      <c r="I103" s="44" t="s">
        <v>360</v>
      </c>
      <c r="J103" s="37">
        <v>91.096969696969694</v>
      </c>
      <c r="K103" s="37">
        <v>30.4969696969697</v>
      </c>
      <c r="L103" s="37">
        <v>97.424242424242394</v>
      </c>
      <c r="M103" s="37">
        <v>35.054545454545398</v>
      </c>
      <c r="N103" s="37">
        <v>93.751515151515207</v>
      </c>
      <c r="O103" s="37">
        <v>37.206060606060603</v>
      </c>
      <c r="P103" s="37">
        <v>98.054545454545405</v>
      </c>
      <c r="Q103" s="37">
        <v>82.812121212121198</v>
      </c>
      <c r="R103" s="37">
        <v>85.696969696969703</v>
      </c>
      <c r="S103" s="44" t="s">
        <v>360</v>
      </c>
      <c r="T103" s="37">
        <v>78.181818181818201</v>
      </c>
      <c r="U103" s="45">
        <f t="shared" ref="U103:U108" si="10">(J103+L103+N103+P103+R103+T103)/6</f>
        <v>90.701010101010112</v>
      </c>
    </row>
    <row r="104" spans="1:21" ht="15.75" x14ac:dyDescent="0.25">
      <c r="A104" s="37">
        <v>94</v>
      </c>
      <c r="B104" s="54" t="s">
        <v>361</v>
      </c>
      <c r="C104" s="55" t="s">
        <v>275</v>
      </c>
      <c r="E104" s="41">
        <v>599507</v>
      </c>
      <c r="F104" s="42" t="s">
        <v>26</v>
      </c>
      <c r="G104" s="46" t="s">
        <v>362</v>
      </c>
      <c r="H104" s="47">
        <v>50</v>
      </c>
      <c r="I104" s="44" t="s">
        <v>363</v>
      </c>
      <c r="J104" s="37">
        <v>91.212121212121204</v>
      </c>
      <c r="K104" s="37">
        <v>30.612121212121199</v>
      </c>
      <c r="L104" s="37">
        <v>97.5030303030303</v>
      </c>
      <c r="M104" s="37">
        <v>35.181818181818201</v>
      </c>
      <c r="N104" s="37">
        <v>93.793939393939397</v>
      </c>
      <c r="O104" s="37">
        <v>37.375757575757497</v>
      </c>
      <c r="P104" s="37">
        <v>98.181818181818201</v>
      </c>
      <c r="Q104" s="37">
        <v>82.751515151515093</v>
      </c>
      <c r="R104" s="37">
        <v>85.612121212121195</v>
      </c>
      <c r="S104" s="44" t="s">
        <v>73</v>
      </c>
      <c r="T104" s="37">
        <v>78.072727272727306</v>
      </c>
      <c r="U104" s="45">
        <f t="shared" si="10"/>
        <v>90.729292929292924</v>
      </c>
    </row>
    <row r="105" spans="1:21" ht="15.75" x14ac:dyDescent="0.25">
      <c r="A105" s="37">
        <v>94.92</v>
      </c>
      <c r="B105" s="54" t="s">
        <v>364</v>
      </c>
      <c r="C105" s="55" t="s">
        <v>275</v>
      </c>
      <c r="E105" s="41">
        <v>580068</v>
      </c>
      <c r="F105" s="42" t="s">
        <v>26</v>
      </c>
      <c r="G105" s="46" t="s">
        <v>365</v>
      </c>
      <c r="H105" s="47">
        <v>51</v>
      </c>
      <c r="I105" s="44" t="s">
        <v>366</v>
      </c>
      <c r="J105" s="37">
        <v>91.327272727272799</v>
      </c>
      <c r="K105" s="37">
        <v>30.727272727272702</v>
      </c>
      <c r="L105" s="37">
        <v>97.581818181818207</v>
      </c>
      <c r="M105" s="37">
        <v>35.309090909090898</v>
      </c>
      <c r="N105" s="37">
        <v>93.8363636363636</v>
      </c>
      <c r="O105" s="37">
        <v>37.545454545454497</v>
      </c>
      <c r="P105" s="37">
        <v>98.309090909090898</v>
      </c>
      <c r="Q105" s="37">
        <v>82.690909090909102</v>
      </c>
      <c r="R105" s="37">
        <v>85.527272727272702</v>
      </c>
      <c r="S105" s="44" t="s">
        <v>366</v>
      </c>
      <c r="T105" s="53">
        <v>77.963636363636397</v>
      </c>
      <c r="U105" s="45">
        <f t="shared" si="10"/>
        <v>90.757575757575765</v>
      </c>
    </row>
    <row r="106" spans="1:21" ht="15.75" x14ac:dyDescent="0.25">
      <c r="A106" s="37">
        <v>95.84</v>
      </c>
      <c r="B106" s="54" t="s">
        <v>367</v>
      </c>
      <c r="C106" s="55" t="s">
        <v>275</v>
      </c>
      <c r="E106" s="41">
        <v>588057</v>
      </c>
      <c r="F106" s="42" t="s">
        <v>26</v>
      </c>
      <c r="G106" s="46" t="s">
        <v>368</v>
      </c>
      <c r="H106" s="47">
        <v>39</v>
      </c>
      <c r="I106" s="44" t="s">
        <v>369</v>
      </c>
      <c r="J106" s="37">
        <v>91.442424242424295</v>
      </c>
      <c r="K106" s="37">
        <v>30.8424242424243</v>
      </c>
      <c r="L106" s="37">
        <v>97.660606060606099</v>
      </c>
      <c r="M106" s="53">
        <v>35.436363636363602</v>
      </c>
      <c r="N106" s="37">
        <v>93.878787878787904</v>
      </c>
      <c r="O106" s="37">
        <v>37.715151515151497</v>
      </c>
      <c r="P106" s="37">
        <v>98.436363636363595</v>
      </c>
      <c r="Q106" s="37">
        <v>82.630303030302997</v>
      </c>
      <c r="R106" s="37">
        <v>85.442424242424295</v>
      </c>
      <c r="S106" s="44" t="s">
        <v>370</v>
      </c>
      <c r="T106" s="37">
        <v>77.854545454545402</v>
      </c>
      <c r="U106" s="45">
        <f t="shared" si="10"/>
        <v>90.785858585858591</v>
      </c>
    </row>
    <row r="107" spans="1:21" ht="15.75" x14ac:dyDescent="0.25">
      <c r="A107" s="37">
        <v>96.76</v>
      </c>
      <c r="B107" s="54" t="s">
        <v>371</v>
      </c>
      <c r="C107" s="55" t="s">
        <v>275</v>
      </c>
      <c r="E107" s="41">
        <v>627022</v>
      </c>
      <c r="F107" s="42" t="s">
        <v>26</v>
      </c>
      <c r="G107" s="46" t="s">
        <v>372</v>
      </c>
      <c r="H107" s="47">
        <v>42</v>
      </c>
      <c r="I107" s="44" t="s">
        <v>73</v>
      </c>
      <c r="J107" s="37">
        <v>91.557575757575805</v>
      </c>
      <c r="K107" s="37">
        <v>30.9575757575758</v>
      </c>
      <c r="L107" s="37">
        <v>97.739393939393906</v>
      </c>
      <c r="M107" s="37">
        <v>35.563636363636299</v>
      </c>
      <c r="N107" s="37">
        <v>93.921212121212093</v>
      </c>
      <c r="O107" s="37">
        <v>37.884848484848398</v>
      </c>
      <c r="P107" s="37">
        <v>98.563636363636306</v>
      </c>
      <c r="Q107" s="37">
        <v>82.569696969696906</v>
      </c>
      <c r="R107" s="37">
        <v>85.357575757575802</v>
      </c>
      <c r="S107" s="44" t="s">
        <v>369</v>
      </c>
      <c r="T107" s="37">
        <v>77.745454545454507</v>
      </c>
      <c r="U107" s="45">
        <f t="shared" si="10"/>
        <v>90.814141414141417</v>
      </c>
    </row>
    <row r="108" spans="1:21" ht="15.75" x14ac:dyDescent="0.25">
      <c r="A108" s="37">
        <v>97.68</v>
      </c>
      <c r="B108" s="54" t="s">
        <v>373</v>
      </c>
      <c r="C108" s="55" t="s">
        <v>275</v>
      </c>
      <c r="E108" s="41" t="s">
        <v>374</v>
      </c>
      <c r="F108" s="42" t="s">
        <v>26</v>
      </c>
      <c r="G108" s="46" t="s">
        <v>375</v>
      </c>
      <c r="H108" s="47">
        <v>50</v>
      </c>
      <c r="I108" s="44" t="s">
        <v>370</v>
      </c>
      <c r="J108" s="53">
        <v>91.6727272727273</v>
      </c>
      <c r="K108" s="53">
        <v>31.072727272727299</v>
      </c>
      <c r="L108" s="53">
        <v>97.818181818181799</v>
      </c>
      <c r="M108" s="37">
        <v>35.690909090909102</v>
      </c>
      <c r="N108" s="53">
        <v>93.963636363636397</v>
      </c>
      <c r="O108" s="53">
        <v>38.054545454545398</v>
      </c>
      <c r="P108" s="53">
        <v>98.690909090909102</v>
      </c>
      <c r="Q108" s="53">
        <v>82.509090909090901</v>
      </c>
      <c r="R108" s="53">
        <v>85.272727272727295</v>
      </c>
      <c r="S108" s="44" t="s">
        <v>363</v>
      </c>
      <c r="T108" s="37">
        <v>77.636363636363598</v>
      </c>
      <c r="U108" s="45">
        <f t="shared" si="10"/>
        <v>90.842424242424258</v>
      </c>
    </row>
    <row r="109" spans="1:21" ht="15.75" x14ac:dyDescent="0.25">
      <c r="A109" s="37">
        <v>98.6</v>
      </c>
      <c r="B109" s="54" t="s">
        <v>376</v>
      </c>
      <c r="C109" s="55" t="s">
        <v>275</v>
      </c>
      <c r="E109" s="41">
        <v>567209</v>
      </c>
      <c r="F109" s="42" t="s">
        <v>26</v>
      </c>
      <c r="G109" s="46" t="s">
        <v>377</v>
      </c>
      <c r="H109" s="47">
        <v>42</v>
      </c>
      <c r="I109" s="44" t="s">
        <v>360</v>
      </c>
      <c r="J109" s="37">
        <v>91.787878787878796</v>
      </c>
      <c r="K109" s="37">
        <v>31.187878787878802</v>
      </c>
      <c r="L109" s="37">
        <v>97.896969696969705</v>
      </c>
      <c r="M109" s="37">
        <v>35.818181818181799</v>
      </c>
      <c r="N109" s="37">
        <v>94.006060606060601</v>
      </c>
      <c r="O109" s="37">
        <v>38.224242424242398</v>
      </c>
      <c r="P109" s="37">
        <v>98.818181818181799</v>
      </c>
      <c r="Q109" s="37">
        <v>82.448484848484796</v>
      </c>
      <c r="R109" s="37">
        <v>85.187878787878802</v>
      </c>
      <c r="S109" s="44" t="s">
        <v>360</v>
      </c>
      <c r="T109" s="37">
        <v>77.527272727272702</v>
      </c>
      <c r="U109" s="45">
        <v>92.35</v>
      </c>
    </row>
    <row r="110" spans="1:21" ht="15.75" x14ac:dyDescent="0.25">
      <c r="A110" s="37">
        <v>99.52</v>
      </c>
      <c r="B110" s="54" t="s">
        <v>378</v>
      </c>
      <c r="C110" s="55" t="s">
        <v>275</v>
      </c>
      <c r="E110" s="41" t="s">
        <v>379</v>
      </c>
      <c r="F110" s="42" t="s">
        <v>26</v>
      </c>
      <c r="G110" s="46" t="s">
        <v>295</v>
      </c>
      <c r="H110" s="43">
        <v>40</v>
      </c>
      <c r="I110" s="44" t="s">
        <v>366</v>
      </c>
      <c r="J110" s="37">
        <v>91.903030303030306</v>
      </c>
      <c r="K110" s="37">
        <v>31.303030303030301</v>
      </c>
      <c r="L110" s="37">
        <v>97.975757575757598</v>
      </c>
      <c r="M110" s="37">
        <v>35.945454545454503</v>
      </c>
      <c r="N110" s="37">
        <v>94.048484848484904</v>
      </c>
      <c r="O110" s="37">
        <v>38.393939393939398</v>
      </c>
      <c r="P110" s="37">
        <v>98.945454545454496</v>
      </c>
      <c r="Q110" s="37">
        <v>82.387878787878805</v>
      </c>
      <c r="R110" s="37">
        <v>85.103030303030295</v>
      </c>
      <c r="S110" s="44" t="s">
        <v>366</v>
      </c>
      <c r="T110" s="53">
        <v>77.418181818181793</v>
      </c>
      <c r="U110" s="45">
        <v>92.45</v>
      </c>
    </row>
    <row r="111" spans="1:21" ht="15.75" x14ac:dyDescent="0.25">
      <c r="A111" s="1"/>
      <c r="B111" s="1"/>
      <c r="C111" s="1"/>
      <c r="E111" s="1"/>
      <c r="F111" s="1"/>
      <c r="G111" s="2"/>
      <c r="H111" s="2"/>
      <c r="I111" s="3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</sheetData>
  <dataValidations count="1">
    <dataValidation allowBlank="1" showInputMessage="1" showErrorMessage="1" errorTitle="Korps" error="Korps Tidak Tersedia, silahkan ketik kembali ... [Klik Cancel]" sqref="E3:E110">
      <formula1>0</formula1>
      <formula2>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UKP Prajurit</vt:lpstr>
      <vt:lpstr>Sheet2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AN</cp:lastModifiedBy>
  <cp:revision>2</cp:revision>
  <dcterms:created xsi:type="dcterms:W3CDTF">2017-07-06T07:16:26Z</dcterms:created>
  <dcterms:modified xsi:type="dcterms:W3CDTF">2017-07-27T05:24:53Z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diakov.net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